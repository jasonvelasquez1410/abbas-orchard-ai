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xr:revisionPtr revIDLastSave="0" documentId="8_{1F3FB1EE-EFFE-48D7-8B5C-09E1859B2D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mmary" sheetId="3" r:id="rId1"/>
    <sheet name="26-27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183" i="2" l="1"/>
  <c r="AD183" i="2"/>
  <c r="X183" i="2"/>
  <c r="AJ182" i="2"/>
  <c r="X182" i="2"/>
  <c r="AJ181" i="2"/>
  <c r="X181" i="2"/>
  <c r="AJ180" i="2"/>
  <c r="AD180" i="2"/>
  <c r="X180" i="2"/>
  <c r="AJ179" i="2"/>
  <c r="X179" i="2"/>
  <c r="AJ178" i="2"/>
  <c r="AC178" i="2"/>
  <c r="X178" i="2"/>
  <c r="E170" i="2"/>
  <c r="E169" i="2"/>
  <c r="E168" i="2"/>
  <c r="E167" i="2"/>
  <c r="E166" i="2"/>
  <c r="I165" i="2"/>
  <c r="H165" i="2"/>
  <c r="G165" i="2"/>
  <c r="F165" i="2"/>
  <c r="AB158" i="2"/>
  <c r="W158" i="2"/>
  <c r="AA158" i="2" s="1"/>
  <c r="V158" i="2"/>
  <c r="X158" i="2" s="1"/>
  <c r="E158" i="2"/>
  <c r="AB157" i="2"/>
  <c r="W157" i="2"/>
  <c r="AA157" i="2" s="1"/>
  <c r="V157" i="2"/>
  <c r="X157" i="2" s="1"/>
  <c r="E157" i="2"/>
  <c r="AB156" i="2"/>
  <c r="W156" i="2"/>
  <c r="AA156" i="2" s="1"/>
  <c r="V156" i="2"/>
  <c r="X156" i="2" s="1"/>
  <c r="M156" i="2"/>
  <c r="F156" i="2"/>
  <c r="AB155" i="2"/>
  <c r="W155" i="2"/>
  <c r="AA155" i="2" s="1"/>
  <c r="V155" i="2"/>
  <c r="X155" i="2" s="1"/>
  <c r="M155" i="2"/>
  <c r="F155" i="2"/>
  <c r="AB154" i="2"/>
  <c r="W154" i="2"/>
  <c r="AA154" i="2" s="1"/>
  <c r="V154" i="2"/>
  <c r="X154" i="2" s="1"/>
  <c r="M154" i="2"/>
  <c r="F154" i="2"/>
  <c r="AB153" i="2"/>
  <c r="W153" i="2"/>
  <c r="AA153" i="2" s="1"/>
  <c r="V153" i="2"/>
  <c r="X153" i="2" s="1"/>
  <c r="M153" i="2"/>
  <c r="F153" i="2"/>
  <c r="AB145" i="2"/>
  <c r="AA145" i="2"/>
  <c r="AE145" i="2" s="1"/>
  <c r="Y145" i="2"/>
  <c r="X145" i="2"/>
  <c r="R145" i="2"/>
  <c r="Q145" i="2"/>
  <c r="P145" i="2"/>
  <c r="O145" i="2"/>
  <c r="N145" i="2"/>
  <c r="M145" i="2"/>
  <c r="AB144" i="2"/>
  <c r="AA144" i="2"/>
  <c r="AE144" i="2" s="1"/>
  <c r="Y144" i="2"/>
  <c r="X144" i="2"/>
  <c r="R144" i="2"/>
  <c r="Q144" i="2"/>
  <c r="P144" i="2"/>
  <c r="O144" i="2"/>
  <c r="N144" i="2"/>
  <c r="M144" i="2"/>
  <c r="AB143" i="2"/>
  <c r="AA143" i="2"/>
  <c r="AE143" i="2" s="1"/>
  <c r="Y143" i="2"/>
  <c r="X143" i="2"/>
  <c r="R143" i="2"/>
  <c r="Q143" i="2"/>
  <c r="P143" i="2"/>
  <c r="O143" i="2"/>
  <c r="N143" i="2"/>
  <c r="M143" i="2"/>
  <c r="AB142" i="2"/>
  <c r="AA142" i="2"/>
  <c r="AE142" i="2" s="1"/>
  <c r="Y142" i="2"/>
  <c r="X142" i="2"/>
  <c r="R142" i="2"/>
  <c r="Q142" i="2"/>
  <c r="P142" i="2"/>
  <c r="O142" i="2"/>
  <c r="N142" i="2"/>
  <c r="M142" i="2"/>
  <c r="AB141" i="2"/>
  <c r="AA141" i="2"/>
  <c r="AE141" i="2" s="1"/>
  <c r="Y141" i="2"/>
  <c r="X141" i="2"/>
  <c r="R141" i="2"/>
  <c r="Q141" i="2"/>
  <c r="P141" i="2"/>
  <c r="O141" i="2"/>
  <c r="N141" i="2"/>
  <c r="M141" i="2"/>
  <c r="AB140" i="2"/>
  <c r="AA140" i="2"/>
  <c r="AE140" i="2" s="1"/>
  <c r="Y140" i="2"/>
  <c r="X140" i="2"/>
  <c r="R140" i="2"/>
  <c r="Q140" i="2"/>
  <c r="P140" i="2"/>
  <c r="O140" i="2"/>
  <c r="N140" i="2"/>
  <c r="M140" i="2"/>
  <c r="AB139" i="2"/>
  <c r="AA139" i="2"/>
  <c r="AE139" i="2" s="1"/>
  <c r="Y139" i="2"/>
  <c r="X139" i="2"/>
  <c r="R139" i="2"/>
  <c r="Q139" i="2"/>
  <c r="P139" i="2"/>
  <c r="O139" i="2"/>
  <c r="N139" i="2"/>
  <c r="M139" i="2"/>
  <c r="AB138" i="2"/>
  <c r="AA138" i="2"/>
  <c r="AE138" i="2" s="1"/>
  <c r="Y138" i="2"/>
  <c r="X138" i="2"/>
  <c r="R138" i="2"/>
  <c r="Q138" i="2"/>
  <c r="P138" i="2"/>
  <c r="O138" i="2"/>
  <c r="N138" i="2"/>
  <c r="M138" i="2"/>
  <c r="AB130" i="2"/>
  <c r="AA130" i="2"/>
  <c r="AE130" i="2" s="1"/>
  <c r="Y130" i="2"/>
  <c r="X130" i="2"/>
  <c r="R130" i="2"/>
  <c r="Q130" i="2"/>
  <c r="P130" i="2"/>
  <c r="O130" i="2"/>
  <c r="N130" i="2"/>
  <c r="M130" i="2"/>
  <c r="AB129" i="2"/>
  <c r="AA129" i="2"/>
  <c r="AE129" i="2" s="1"/>
  <c r="Y129" i="2"/>
  <c r="X129" i="2"/>
  <c r="R129" i="2"/>
  <c r="Q129" i="2"/>
  <c r="P129" i="2"/>
  <c r="O129" i="2"/>
  <c r="N129" i="2"/>
  <c r="M129" i="2"/>
  <c r="AB128" i="2"/>
  <c r="AA128" i="2"/>
  <c r="AE128" i="2" s="1"/>
  <c r="Y128" i="2"/>
  <c r="X128" i="2"/>
  <c r="R128" i="2"/>
  <c r="Q128" i="2"/>
  <c r="P128" i="2"/>
  <c r="O128" i="2"/>
  <c r="N128" i="2"/>
  <c r="M128" i="2"/>
  <c r="AB127" i="2"/>
  <c r="AA127" i="2"/>
  <c r="AE127" i="2" s="1"/>
  <c r="Y127" i="2"/>
  <c r="X127" i="2"/>
  <c r="R127" i="2"/>
  <c r="Q127" i="2"/>
  <c r="P127" i="2"/>
  <c r="O127" i="2"/>
  <c r="N127" i="2"/>
  <c r="M127" i="2"/>
  <c r="AB126" i="2"/>
  <c r="AA126" i="2"/>
  <c r="AE126" i="2" s="1"/>
  <c r="Y126" i="2"/>
  <c r="X126" i="2"/>
  <c r="R126" i="2"/>
  <c r="Q126" i="2"/>
  <c r="P126" i="2"/>
  <c r="O126" i="2"/>
  <c r="N126" i="2"/>
  <c r="M126" i="2"/>
  <c r="AB125" i="2"/>
  <c r="AA125" i="2"/>
  <c r="AE125" i="2" s="1"/>
  <c r="Y125" i="2"/>
  <c r="X125" i="2"/>
  <c r="R125" i="2"/>
  <c r="Q125" i="2"/>
  <c r="P125" i="2"/>
  <c r="O125" i="2"/>
  <c r="N125" i="2"/>
  <c r="M125" i="2"/>
  <c r="AA119" i="2"/>
  <c r="AB118" i="2"/>
  <c r="AA118" i="2"/>
  <c r="AE118" i="2" s="1"/>
  <c r="Y118" i="2"/>
  <c r="X118" i="2"/>
  <c r="R118" i="2"/>
  <c r="Q118" i="2"/>
  <c r="P118" i="2"/>
  <c r="O118" i="2"/>
  <c r="N118" i="2"/>
  <c r="M118" i="2"/>
  <c r="AB117" i="2"/>
  <c r="AA117" i="2"/>
  <c r="AE117" i="2" s="1"/>
  <c r="Y117" i="2"/>
  <c r="X117" i="2"/>
  <c r="R117" i="2"/>
  <c r="Q117" i="2"/>
  <c r="P117" i="2"/>
  <c r="O117" i="2"/>
  <c r="N117" i="2"/>
  <c r="M117" i="2"/>
  <c r="AB116" i="2"/>
  <c r="AA116" i="2"/>
  <c r="AE116" i="2" s="1"/>
  <c r="Y116" i="2"/>
  <c r="X116" i="2"/>
  <c r="R116" i="2"/>
  <c r="Q116" i="2"/>
  <c r="P116" i="2"/>
  <c r="O116" i="2"/>
  <c r="N116" i="2"/>
  <c r="M116" i="2"/>
  <c r="AB115" i="2"/>
  <c r="AA115" i="2"/>
  <c r="AE115" i="2" s="1"/>
  <c r="Y115" i="2"/>
  <c r="X115" i="2"/>
  <c r="R115" i="2"/>
  <c r="Q115" i="2"/>
  <c r="P115" i="2"/>
  <c r="O115" i="2"/>
  <c r="N115" i="2"/>
  <c r="M115" i="2"/>
  <c r="AB114" i="2"/>
  <c r="AA114" i="2"/>
  <c r="AE114" i="2" s="1"/>
  <c r="Y114" i="2"/>
  <c r="X114" i="2"/>
  <c r="R114" i="2"/>
  <c r="Q114" i="2"/>
  <c r="P114" i="2"/>
  <c r="O114" i="2"/>
  <c r="N114" i="2"/>
  <c r="M114" i="2"/>
  <c r="AB113" i="2"/>
  <c r="AA113" i="2"/>
  <c r="AE113" i="2" s="1"/>
  <c r="Y113" i="2"/>
  <c r="X113" i="2"/>
  <c r="R113" i="2"/>
  <c r="Q113" i="2"/>
  <c r="P113" i="2"/>
  <c r="O113" i="2"/>
  <c r="N113" i="2"/>
  <c r="M113" i="2"/>
  <c r="AB105" i="2"/>
  <c r="AA105" i="2"/>
  <c r="AE105" i="2" s="1"/>
  <c r="Y105" i="2"/>
  <c r="X105" i="2"/>
  <c r="R105" i="2"/>
  <c r="Q105" i="2"/>
  <c r="P105" i="2"/>
  <c r="O105" i="2"/>
  <c r="N105" i="2"/>
  <c r="M105" i="2"/>
  <c r="AB104" i="2"/>
  <c r="AA104" i="2"/>
  <c r="AE104" i="2" s="1"/>
  <c r="Y104" i="2"/>
  <c r="X104" i="2"/>
  <c r="R104" i="2"/>
  <c r="Q104" i="2"/>
  <c r="P104" i="2"/>
  <c r="O104" i="2"/>
  <c r="N104" i="2"/>
  <c r="M104" i="2"/>
  <c r="AB103" i="2"/>
  <c r="AA103" i="2"/>
  <c r="AE103" i="2" s="1"/>
  <c r="Y103" i="2"/>
  <c r="X103" i="2"/>
  <c r="R103" i="2"/>
  <c r="Q103" i="2"/>
  <c r="P103" i="2"/>
  <c r="O103" i="2"/>
  <c r="N103" i="2"/>
  <c r="M103" i="2"/>
  <c r="AB102" i="2"/>
  <c r="AA102" i="2"/>
  <c r="AE102" i="2" s="1"/>
  <c r="Y102" i="2"/>
  <c r="X102" i="2"/>
  <c r="R102" i="2"/>
  <c r="Q102" i="2"/>
  <c r="P102" i="2"/>
  <c r="O102" i="2"/>
  <c r="N102" i="2"/>
  <c r="M102" i="2"/>
  <c r="AB101" i="2"/>
  <c r="AA101" i="2"/>
  <c r="AE101" i="2" s="1"/>
  <c r="Y101" i="2"/>
  <c r="X101" i="2"/>
  <c r="R101" i="2"/>
  <c r="Q101" i="2"/>
  <c r="P101" i="2"/>
  <c r="O101" i="2"/>
  <c r="N101" i="2"/>
  <c r="M101" i="2"/>
  <c r="AB100" i="2"/>
  <c r="AA100" i="2"/>
  <c r="AE100" i="2" s="1"/>
  <c r="Y100" i="2"/>
  <c r="X100" i="2"/>
  <c r="R100" i="2"/>
  <c r="Q100" i="2"/>
  <c r="P100" i="2"/>
  <c r="O100" i="2"/>
  <c r="N100" i="2"/>
  <c r="M100" i="2"/>
  <c r="AB99" i="2"/>
  <c r="AA99" i="2"/>
  <c r="AE99" i="2" s="1"/>
  <c r="Y99" i="2"/>
  <c r="X99" i="2"/>
  <c r="R99" i="2"/>
  <c r="Q99" i="2"/>
  <c r="P99" i="2"/>
  <c r="O99" i="2"/>
  <c r="N99" i="2"/>
  <c r="M99" i="2"/>
  <c r="AB98" i="2"/>
  <c r="AA98" i="2"/>
  <c r="AE98" i="2" s="1"/>
  <c r="Y98" i="2"/>
  <c r="X98" i="2"/>
  <c r="R98" i="2"/>
  <c r="Q98" i="2"/>
  <c r="P98" i="2"/>
  <c r="O98" i="2"/>
  <c r="N98" i="2"/>
  <c r="M98" i="2"/>
  <c r="AB97" i="2"/>
  <c r="AA97" i="2"/>
  <c r="AE97" i="2" s="1"/>
  <c r="Y97" i="2"/>
  <c r="X97" i="2"/>
  <c r="R97" i="2"/>
  <c r="Q97" i="2"/>
  <c r="P97" i="2"/>
  <c r="O97" i="2"/>
  <c r="N97" i="2"/>
  <c r="M97" i="2"/>
  <c r="AB89" i="2"/>
  <c r="AA89" i="2"/>
  <c r="AE89" i="2" s="1"/>
  <c r="Y89" i="2"/>
  <c r="X89" i="2"/>
  <c r="R89" i="2"/>
  <c r="Q89" i="2"/>
  <c r="P89" i="2"/>
  <c r="O89" i="2"/>
  <c r="N89" i="2"/>
  <c r="M89" i="2"/>
  <c r="AB88" i="2"/>
  <c r="AA88" i="2"/>
  <c r="AE88" i="2" s="1"/>
  <c r="Y88" i="2"/>
  <c r="X88" i="2"/>
  <c r="R88" i="2"/>
  <c r="Q88" i="2"/>
  <c r="P88" i="2"/>
  <c r="O88" i="2"/>
  <c r="N88" i="2"/>
  <c r="M88" i="2"/>
  <c r="AB87" i="2"/>
  <c r="AA87" i="2"/>
  <c r="AE87" i="2" s="1"/>
  <c r="Y87" i="2"/>
  <c r="X87" i="2"/>
  <c r="R87" i="2"/>
  <c r="Q87" i="2"/>
  <c r="P87" i="2"/>
  <c r="O87" i="2"/>
  <c r="N87" i="2"/>
  <c r="M87" i="2"/>
  <c r="AB86" i="2"/>
  <c r="AA86" i="2"/>
  <c r="AE86" i="2" s="1"/>
  <c r="Y86" i="2"/>
  <c r="X86" i="2"/>
  <c r="R86" i="2"/>
  <c r="Q86" i="2"/>
  <c r="P86" i="2"/>
  <c r="O86" i="2"/>
  <c r="N86" i="2"/>
  <c r="M86" i="2"/>
  <c r="AB85" i="2"/>
  <c r="AA85" i="2"/>
  <c r="AE85" i="2" s="1"/>
  <c r="Y85" i="2"/>
  <c r="X85" i="2"/>
  <c r="R85" i="2"/>
  <c r="Q85" i="2"/>
  <c r="P85" i="2"/>
  <c r="O85" i="2"/>
  <c r="N85" i="2"/>
  <c r="M85" i="2"/>
  <c r="AB84" i="2"/>
  <c r="AA84" i="2"/>
  <c r="AE84" i="2" s="1"/>
  <c r="Y84" i="2"/>
  <c r="X84" i="2"/>
  <c r="R84" i="2"/>
  <c r="Q84" i="2"/>
  <c r="P84" i="2"/>
  <c r="O84" i="2"/>
  <c r="N84" i="2"/>
  <c r="M84" i="2"/>
  <c r="AD78" i="2"/>
  <c r="AD77" i="2"/>
  <c r="AB76" i="2"/>
  <c r="AA76" i="2"/>
  <c r="AE76" i="2" s="1"/>
  <c r="Y76" i="2"/>
  <c r="X76" i="2"/>
  <c r="R76" i="2"/>
  <c r="Q76" i="2"/>
  <c r="P76" i="2"/>
  <c r="O76" i="2"/>
  <c r="N76" i="2"/>
  <c r="M76" i="2"/>
  <c r="AB75" i="2"/>
  <c r="AA75" i="2"/>
  <c r="AE75" i="2" s="1"/>
  <c r="Y75" i="2"/>
  <c r="X75" i="2"/>
  <c r="R75" i="2"/>
  <c r="Q75" i="2"/>
  <c r="P75" i="2"/>
  <c r="O75" i="2"/>
  <c r="N75" i="2"/>
  <c r="M75" i="2"/>
  <c r="AB74" i="2"/>
  <c r="AA74" i="2"/>
  <c r="AE74" i="2" s="1"/>
  <c r="Y74" i="2"/>
  <c r="X74" i="2"/>
  <c r="R74" i="2"/>
  <c r="Q74" i="2"/>
  <c r="P74" i="2"/>
  <c r="O74" i="2"/>
  <c r="N74" i="2"/>
  <c r="M74" i="2"/>
  <c r="AB73" i="2"/>
  <c r="AA73" i="2"/>
  <c r="AE73" i="2" s="1"/>
  <c r="Y73" i="2"/>
  <c r="X73" i="2"/>
  <c r="R73" i="2"/>
  <c r="Q73" i="2"/>
  <c r="P73" i="2"/>
  <c r="O73" i="2"/>
  <c r="N73" i="2"/>
  <c r="M73" i="2"/>
  <c r="AB72" i="2"/>
  <c r="AA72" i="2"/>
  <c r="AE72" i="2" s="1"/>
  <c r="Y72" i="2"/>
  <c r="X72" i="2"/>
  <c r="R72" i="2"/>
  <c r="Q72" i="2"/>
  <c r="P72" i="2"/>
  <c r="O72" i="2"/>
  <c r="N72" i="2"/>
  <c r="M72" i="2"/>
  <c r="AB71" i="2"/>
  <c r="AA71" i="2"/>
  <c r="AE71" i="2" s="1"/>
  <c r="Y71" i="2"/>
  <c r="X71" i="2"/>
  <c r="R71" i="2"/>
  <c r="Q71" i="2"/>
  <c r="P71" i="2"/>
  <c r="O71" i="2"/>
  <c r="N71" i="2"/>
  <c r="M71" i="2"/>
  <c r="X65" i="2"/>
  <c r="AB63" i="2"/>
  <c r="AA63" i="2"/>
  <c r="AE63" i="2" s="1"/>
  <c r="Y63" i="2"/>
  <c r="X63" i="2"/>
  <c r="R63" i="2"/>
  <c r="Q63" i="2"/>
  <c r="P63" i="2"/>
  <c r="O63" i="2"/>
  <c r="N63" i="2"/>
  <c r="M63" i="2"/>
  <c r="AB62" i="2"/>
  <c r="AA62" i="2"/>
  <c r="AE62" i="2" s="1"/>
  <c r="Y62" i="2"/>
  <c r="X62" i="2"/>
  <c r="R62" i="2"/>
  <c r="Q62" i="2"/>
  <c r="P62" i="2"/>
  <c r="O62" i="2"/>
  <c r="N62" i="2"/>
  <c r="M62" i="2"/>
  <c r="AB61" i="2"/>
  <c r="AA61" i="2"/>
  <c r="AE61" i="2" s="1"/>
  <c r="Y61" i="2"/>
  <c r="X61" i="2"/>
  <c r="R61" i="2"/>
  <c r="Q61" i="2"/>
  <c r="P61" i="2"/>
  <c r="O61" i="2"/>
  <c r="N61" i="2"/>
  <c r="M61" i="2"/>
  <c r="AB60" i="2"/>
  <c r="AA60" i="2"/>
  <c r="AE60" i="2" s="1"/>
  <c r="Y60" i="2"/>
  <c r="X60" i="2"/>
  <c r="R60" i="2"/>
  <c r="Q60" i="2"/>
  <c r="P60" i="2"/>
  <c r="O60" i="2"/>
  <c r="N60" i="2"/>
  <c r="M60" i="2"/>
  <c r="AB59" i="2"/>
  <c r="AA59" i="2"/>
  <c r="AE59" i="2" s="1"/>
  <c r="Y59" i="2"/>
  <c r="X59" i="2"/>
  <c r="R59" i="2"/>
  <c r="Q59" i="2"/>
  <c r="P59" i="2"/>
  <c r="O59" i="2"/>
  <c r="N59" i="2"/>
  <c r="M59" i="2"/>
  <c r="AB58" i="2"/>
  <c r="AA58" i="2"/>
  <c r="AE58" i="2" s="1"/>
  <c r="Y58" i="2"/>
  <c r="X58" i="2"/>
  <c r="R58" i="2"/>
  <c r="Q58" i="2"/>
  <c r="P58" i="2"/>
  <c r="O58" i="2"/>
  <c r="N58" i="2"/>
  <c r="M58" i="2"/>
  <c r="AB57" i="2"/>
  <c r="AA57" i="2"/>
  <c r="AE57" i="2" s="1"/>
  <c r="Y57" i="2"/>
  <c r="X57" i="2"/>
  <c r="R57" i="2"/>
  <c r="Q57" i="2"/>
  <c r="P57" i="2"/>
  <c r="O57" i="2"/>
  <c r="N57" i="2"/>
  <c r="M57" i="2"/>
  <c r="AB56" i="2"/>
  <c r="AA56" i="2"/>
  <c r="AE56" i="2" s="1"/>
  <c r="Y56" i="2"/>
  <c r="X56" i="2"/>
  <c r="R56" i="2"/>
  <c r="Q56" i="2"/>
  <c r="P56" i="2"/>
  <c r="O56" i="2"/>
  <c r="N56" i="2"/>
  <c r="M56" i="2"/>
  <c r="AA49" i="2"/>
  <c r="AB48" i="2"/>
  <c r="AA48" i="2"/>
  <c r="AE48" i="2" s="1"/>
  <c r="Y48" i="2"/>
  <c r="X48" i="2"/>
  <c r="R48" i="2"/>
  <c r="Q48" i="2"/>
  <c r="P48" i="2"/>
  <c r="O48" i="2"/>
  <c r="N48" i="2"/>
  <c r="M48" i="2"/>
  <c r="AB47" i="2"/>
  <c r="AA47" i="2"/>
  <c r="AE47" i="2" s="1"/>
  <c r="Y47" i="2"/>
  <c r="X47" i="2"/>
  <c r="R47" i="2"/>
  <c r="Q47" i="2"/>
  <c r="P47" i="2"/>
  <c r="O47" i="2"/>
  <c r="N47" i="2"/>
  <c r="M47" i="2"/>
  <c r="AB46" i="2"/>
  <c r="AA46" i="2"/>
  <c r="AE46" i="2" s="1"/>
  <c r="Y46" i="2"/>
  <c r="X46" i="2"/>
  <c r="R46" i="2"/>
  <c r="Q46" i="2"/>
  <c r="P46" i="2"/>
  <c r="O46" i="2"/>
  <c r="N46" i="2"/>
  <c r="M46" i="2"/>
  <c r="AB45" i="2"/>
  <c r="AA45" i="2"/>
  <c r="AE45" i="2" s="1"/>
  <c r="Y45" i="2"/>
  <c r="X45" i="2"/>
  <c r="R45" i="2"/>
  <c r="Q45" i="2"/>
  <c r="P45" i="2"/>
  <c r="O45" i="2"/>
  <c r="N45" i="2"/>
  <c r="M45" i="2"/>
  <c r="AB44" i="2"/>
  <c r="AA44" i="2"/>
  <c r="AE44" i="2" s="1"/>
  <c r="Y44" i="2"/>
  <c r="X44" i="2"/>
  <c r="R44" i="2"/>
  <c r="Q44" i="2"/>
  <c r="P44" i="2"/>
  <c r="O44" i="2"/>
  <c r="N44" i="2"/>
  <c r="M44" i="2"/>
  <c r="AB43" i="2"/>
  <c r="AA43" i="2"/>
  <c r="AE43" i="2" s="1"/>
  <c r="Y43" i="2"/>
  <c r="X43" i="2"/>
  <c r="R43" i="2"/>
  <c r="Q43" i="2"/>
  <c r="P43" i="2"/>
  <c r="O43" i="2"/>
  <c r="N43" i="2"/>
  <c r="M43" i="2"/>
  <c r="AB42" i="2"/>
  <c r="AA42" i="2"/>
  <c r="AE42" i="2" s="1"/>
  <c r="Y42" i="2"/>
  <c r="X42" i="2"/>
  <c r="R42" i="2"/>
  <c r="Q42" i="2"/>
  <c r="P42" i="2"/>
  <c r="O42" i="2"/>
  <c r="N42" i="2"/>
  <c r="M42" i="2"/>
  <c r="AB41" i="2"/>
  <c r="AA41" i="2"/>
  <c r="AE41" i="2" s="1"/>
  <c r="Y41" i="2"/>
  <c r="X41" i="2"/>
  <c r="R41" i="2"/>
  <c r="Q41" i="2"/>
  <c r="P41" i="2"/>
  <c r="O41" i="2"/>
  <c r="N41" i="2"/>
  <c r="M41" i="2"/>
  <c r="AB40" i="2"/>
  <c r="AA40" i="2"/>
  <c r="AE40" i="2" s="1"/>
  <c r="Y40" i="2"/>
  <c r="X40" i="2"/>
  <c r="R40" i="2"/>
  <c r="Q40" i="2"/>
  <c r="P40" i="2"/>
  <c r="O40" i="2"/>
  <c r="N40" i="2"/>
  <c r="M40" i="2"/>
  <c r="AB32" i="2"/>
  <c r="X32" i="2"/>
  <c r="W32" i="2"/>
  <c r="AA32" i="2" s="1"/>
  <c r="R32" i="2"/>
  <c r="Q32" i="2"/>
  <c r="P32" i="2"/>
  <c r="O32" i="2"/>
  <c r="N32" i="2"/>
  <c r="M32" i="2"/>
  <c r="AB31" i="2"/>
  <c r="X31" i="2"/>
  <c r="W31" i="2"/>
  <c r="AA31" i="2" s="1"/>
  <c r="R31" i="2"/>
  <c r="Q31" i="2"/>
  <c r="P31" i="2"/>
  <c r="O31" i="2"/>
  <c r="N31" i="2"/>
  <c r="M31" i="2"/>
  <c r="AB30" i="2"/>
  <c r="X30" i="2"/>
  <c r="W30" i="2"/>
  <c r="AA30" i="2" s="1"/>
  <c r="R30" i="2"/>
  <c r="Q30" i="2"/>
  <c r="P30" i="2"/>
  <c r="O30" i="2"/>
  <c r="N30" i="2"/>
  <c r="M30" i="2"/>
  <c r="AB29" i="2"/>
  <c r="X29" i="2"/>
  <c r="W29" i="2"/>
  <c r="AA29" i="2" s="1"/>
  <c r="R29" i="2"/>
  <c r="Q29" i="2"/>
  <c r="P29" i="2"/>
  <c r="O29" i="2"/>
  <c r="N29" i="2"/>
  <c r="M29" i="2"/>
  <c r="AB28" i="2"/>
  <c r="X28" i="2"/>
  <c r="W28" i="2"/>
  <c r="AA28" i="2" s="1"/>
  <c r="R28" i="2"/>
  <c r="Q28" i="2"/>
  <c r="P28" i="2"/>
  <c r="O28" i="2"/>
  <c r="N28" i="2"/>
  <c r="M28" i="2"/>
  <c r="AB27" i="2"/>
  <c r="X27" i="2"/>
  <c r="W27" i="2"/>
  <c r="AA27" i="2" s="1"/>
  <c r="R27" i="2"/>
  <c r="Q27" i="2"/>
  <c r="P27" i="2"/>
  <c r="O27" i="2"/>
  <c r="N27" i="2"/>
  <c r="M27" i="2"/>
  <c r="AB26" i="2"/>
  <c r="X26" i="2"/>
  <c r="W26" i="2"/>
  <c r="AA26" i="2" s="1"/>
  <c r="R26" i="2"/>
  <c r="Q26" i="2"/>
  <c r="P26" i="2"/>
  <c r="O26" i="2"/>
  <c r="N26" i="2"/>
  <c r="M26" i="2"/>
  <c r="AB25" i="2"/>
  <c r="X25" i="2"/>
  <c r="W25" i="2"/>
  <c r="AA25" i="2" s="1"/>
  <c r="R25" i="2"/>
  <c r="Q25" i="2"/>
  <c r="P25" i="2"/>
  <c r="O25" i="2"/>
  <c r="N25" i="2"/>
  <c r="M25" i="2"/>
  <c r="AB24" i="2"/>
  <c r="X24" i="2"/>
  <c r="W24" i="2"/>
  <c r="AA24" i="2" s="1"/>
  <c r="R24" i="2"/>
  <c r="Q24" i="2"/>
  <c r="P24" i="2"/>
  <c r="O24" i="2"/>
  <c r="N24" i="2"/>
  <c r="M24" i="2"/>
  <c r="AB16" i="2"/>
  <c r="AA16" i="2"/>
  <c r="AE16" i="2" s="1"/>
  <c r="Y16" i="2"/>
  <c r="X16" i="2"/>
  <c r="R16" i="2"/>
  <c r="Q16" i="2"/>
  <c r="P16" i="2"/>
  <c r="O16" i="2"/>
  <c r="N16" i="2"/>
  <c r="M16" i="2"/>
  <c r="AB15" i="2"/>
  <c r="AA15" i="2"/>
  <c r="AE15" i="2" s="1"/>
  <c r="Y15" i="2"/>
  <c r="X15" i="2"/>
  <c r="R15" i="2"/>
  <c r="Q15" i="2"/>
  <c r="P15" i="2"/>
  <c r="O15" i="2"/>
  <c r="N15" i="2"/>
  <c r="M15" i="2"/>
  <c r="AB14" i="2"/>
  <c r="AA14" i="2"/>
  <c r="AE14" i="2" s="1"/>
  <c r="Y14" i="2"/>
  <c r="X14" i="2"/>
  <c r="R14" i="2"/>
  <c r="Q14" i="2"/>
  <c r="P14" i="2"/>
  <c r="O14" i="2"/>
  <c r="N14" i="2"/>
  <c r="M14" i="2"/>
  <c r="AB13" i="2"/>
  <c r="AA13" i="2"/>
  <c r="AE13" i="2" s="1"/>
  <c r="Y13" i="2"/>
  <c r="X13" i="2"/>
  <c r="R13" i="2"/>
  <c r="Q13" i="2"/>
  <c r="P13" i="2"/>
  <c r="O13" i="2"/>
  <c r="N13" i="2"/>
  <c r="M13" i="2"/>
  <c r="AB12" i="2"/>
  <c r="AA12" i="2"/>
  <c r="AE12" i="2" s="1"/>
  <c r="Y12" i="2"/>
  <c r="X12" i="2"/>
  <c r="R12" i="2"/>
  <c r="Q12" i="2"/>
  <c r="P12" i="2"/>
  <c r="O12" i="2"/>
  <c r="N12" i="2"/>
  <c r="M12" i="2"/>
  <c r="AB11" i="2"/>
  <c r="AA11" i="2"/>
  <c r="AE11" i="2" s="1"/>
  <c r="Y11" i="2"/>
  <c r="X11" i="2"/>
  <c r="R11" i="2"/>
  <c r="Q11" i="2"/>
  <c r="P11" i="2"/>
  <c r="O11" i="2"/>
  <c r="N11" i="2"/>
  <c r="M11" i="2"/>
  <c r="AB10" i="2"/>
  <c r="AA10" i="2"/>
  <c r="AE10" i="2" s="1"/>
  <c r="Y10" i="2"/>
  <c r="X10" i="2"/>
  <c r="R10" i="2"/>
  <c r="Q10" i="2"/>
  <c r="P10" i="2"/>
  <c r="O10" i="2"/>
  <c r="N10" i="2"/>
  <c r="M10" i="2"/>
  <c r="AB9" i="2"/>
  <c r="AA9" i="2"/>
  <c r="AE9" i="2" s="1"/>
  <c r="Y9" i="2"/>
  <c r="X9" i="2"/>
  <c r="R9" i="2"/>
  <c r="Q9" i="2"/>
  <c r="P9" i="2"/>
  <c r="O9" i="2"/>
  <c r="N9" i="2"/>
  <c r="M9" i="2"/>
  <c r="AB8" i="2"/>
  <c r="AA8" i="2"/>
  <c r="AE8" i="2" s="1"/>
  <c r="Y8" i="2"/>
  <c r="X8" i="2"/>
  <c r="R8" i="2"/>
  <c r="Q8" i="2"/>
  <c r="P8" i="2"/>
  <c r="O8" i="2"/>
  <c r="N8" i="2"/>
  <c r="M8" i="2"/>
  <c r="AH183" i="2" l="1"/>
  <c r="AB183" i="2"/>
  <c r="I170" i="2"/>
  <c r="G170" i="2"/>
  <c r="H170" i="2"/>
  <c r="F170" i="2"/>
  <c r="E183" i="2" s="1"/>
  <c r="AA183" i="2" s="1"/>
  <c r="AH182" i="2"/>
  <c r="AB182" i="2"/>
  <c r="F169" i="2"/>
  <c r="E182" i="2" s="1"/>
  <c r="AA182" i="2" s="1"/>
  <c r="G169" i="2"/>
  <c r="H169" i="2"/>
  <c r="I169" i="2"/>
  <c r="AH181" i="2"/>
  <c r="AB181" i="2"/>
  <c r="I168" i="2"/>
  <c r="H168" i="2"/>
  <c r="G168" i="2"/>
  <c r="F168" i="2"/>
  <c r="E181" i="2" s="1"/>
  <c r="AA181" i="2" s="1"/>
  <c r="AH180" i="2"/>
  <c r="AB180" i="2"/>
  <c r="I167" i="2"/>
  <c r="H167" i="2"/>
  <c r="G167" i="2"/>
  <c r="F167" i="2"/>
  <c r="E180" i="2" s="1"/>
  <c r="AA180" i="2" s="1"/>
  <c r="AB178" i="2"/>
  <c r="AH178" i="2"/>
  <c r="AB179" i="2"/>
  <c r="AH179" i="2"/>
  <c r="I166" i="2"/>
  <c r="H166" i="2"/>
  <c r="G166" i="2"/>
  <c r="F166" i="2"/>
  <c r="AI158" i="2"/>
  <c r="AG158" i="2"/>
  <c r="AH158" i="2" s="1"/>
  <c r="AE158" i="2"/>
  <c r="Y158" i="2"/>
  <c r="M158" i="2"/>
  <c r="F158" i="2"/>
  <c r="AI157" i="2"/>
  <c r="AG157" i="2"/>
  <c r="AH157" i="2" s="1"/>
  <c r="AE157" i="2"/>
  <c r="Y157" i="2"/>
  <c r="M157" i="2"/>
  <c r="F157" i="2"/>
  <c r="AI156" i="2"/>
  <c r="AG156" i="2"/>
  <c r="AH156" i="2" s="1"/>
  <c r="AE156" i="2"/>
  <c r="Y156" i="2"/>
  <c r="N156" i="2"/>
  <c r="J156" i="2"/>
  <c r="R156" i="2" s="1"/>
  <c r="I156" i="2"/>
  <c r="Q156" i="2" s="1"/>
  <c r="H156" i="2"/>
  <c r="P156" i="2" s="1"/>
  <c r="G156" i="2"/>
  <c r="O156" i="2" s="1"/>
  <c r="AI155" i="2"/>
  <c r="AG155" i="2"/>
  <c r="AH155" i="2" s="1"/>
  <c r="AE155" i="2"/>
  <c r="Y155" i="2"/>
  <c r="N155" i="2"/>
  <c r="J155" i="2"/>
  <c r="R155" i="2" s="1"/>
  <c r="I155" i="2"/>
  <c r="Q155" i="2" s="1"/>
  <c r="H155" i="2"/>
  <c r="P155" i="2" s="1"/>
  <c r="G155" i="2"/>
  <c r="O155" i="2" s="1"/>
  <c r="AI154" i="2"/>
  <c r="AG154" i="2"/>
  <c r="AH154" i="2" s="1"/>
  <c r="AE154" i="2"/>
  <c r="Y154" i="2"/>
  <c r="N154" i="2"/>
  <c r="J154" i="2"/>
  <c r="R154" i="2" s="1"/>
  <c r="I154" i="2"/>
  <c r="Q154" i="2" s="1"/>
  <c r="H154" i="2"/>
  <c r="P154" i="2" s="1"/>
  <c r="G154" i="2"/>
  <c r="O154" i="2" s="1"/>
  <c r="AI153" i="2"/>
  <c r="AG153" i="2"/>
  <c r="AH153" i="2" s="1"/>
  <c r="AE153" i="2"/>
  <c r="Y153" i="2"/>
  <c r="N153" i="2"/>
  <c r="J153" i="2"/>
  <c r="R153" i="2" s="1"/>
  <c r="I153" i="2"/>
  <c r="Q153" i="2" s="1"/>
  <c r="H153" i="2"/>
  <c r="P153" i="2" s="1"/>
  <c r="G153" i="2"/>
  <c r="O153" i="2" s="1"/>
  <c r="AI145" i="2"/>
  <c r="AG145" i="2"/>
  <c r="AH145" i="2" s="1"/>
  <c r="AF145" i="2"/>
  <c r="AJ145" i="2"/>
  <c r="AI144" i="2"/>
  <c r="AG144" i="2"/>
  <c r="AH144" i="2" s="1"/>
  <c r="AF144" i="2"/>
  <c r="AJ144" i="2"/>
  <c r="AI143" i="2"/>
  <c r="AG143" i="2"/>
  <c r="AH143" i="2" s="1"/>
  <c r="AF143" i="2"/>
  <c r="AJ143" i="2"/>
  <c r="AI142" i="2"/>
  <c r="AG142" i="2"/>
  <c r="AH142" i="2" s="1"/>
  <c r="AF142" i="2"/>
  <c r="AJ142" i="2"/>
  <c r="AI141" i="2"/>
  <c r="AG141" i="2"/>
  <c r="AH141" i="2" s="1"/>
  <c r="AF141" i="2"/>
  <c r="AJ141" i="2"/>
  <c r="AI140" i="2"/>
  <c r="AG140" i="2"/>
  <c r="AH140" i="2" s="1"/>
  <c r="AF140" i="2"/>
  <c r="AJ140" i="2"/>
  <c r="AI139" i="2"/>
  <c r="AG139" i="2"/>
  <c r="AH139" i="2" s="1"/>
  <c r="AF139" i="2"/>
  <c r="AJ139" i="2"/>
  <c r="AI138" i="2"/>
  <c r="AG138" i="2"/>
  <c r="AH138" i="2" s="1"/>
  <c r="AF138" i="2"/>
  <c r="AJ138" i="2"/>
  <c r="AI130" i="2"/>
  <c r="AG130" i="2"/>
  <c r="AH130" i="2" s="1"/>
  <c r="AF130" i="2"/>
  <c r="AJ130" i="2"/>
  <c r="AI129" i="2"/>
  <c r="AG129" i="2"/>
  <c r="AH129" i="2" s="1"/>
  <c r="AF129" i="2"/>
  <c r="AJ129" i="2"/>
  <c r="AI128" i="2"/>
  <c r="AG128" i="2"/>
  <c r="AH128" i="2" s="1"/>
  <c r="AF128" i="2"/>
  <c r="AJ128" i="2"/>
  <c r="AI127" i="2"/>
  <c r="AG127" i="2"/>
  <c r="AH127" i="2" s="1"/>
  <c r="AF127" i="2"/>
  <c r="AJ127" i="2"/>
  <c r="AI126" i="2"/>
  <c r="AG126" i="2"/>
  <c r="AH126" i="2" s="1"/>
  <c r="AF126" i="2"/>
  <c r="AJ126" i="2"/>
  <c r="AI125" i="2"/>
  <c r="AG125" i="2"/>
  <c r="AH125" i="2" s="1"/>
  <c r="AF125" i="2"/>
  <c r="AJ125" i="2"/>
  <c r="AI118" i="2"/>
  <c r="AG118" i="2"/>
  <c r="AH118" i="2" s="1"/>
  <c r="AF118" i="2"/>
  <c r="AJ118" i="2"/>
  <c r="AI117" i="2"/>
  <c r="AG117" i="2"/>
  <c r="AH117" i="2" s="1"/>
  <c r="AF117" i="2"/>
  <c r="AJ117" i="2"/>
  <c r="AI116" i="2"/>
  <c r="AG116" i="2"/>
  <c r="AH116" i="2" s="1"/>
  <c r="AF116" i="2"/>
  <c r="AJ116" i="2"/>
  <c r="AI115" i="2"/>
  <c r="AG115" i="2"/>
  <c r="AH115" i="2" s="1"/>
  <c r="AF115" i="2"/>
  <c r="AJ115" i="2"/>
  <c r="AI114" i="2"/>
  <c r="AG114" i="2"/>
  <c r="AH114" i="2" s="1"/>
  <c r="AF114" i="2"/>
  <c r="AJ114" i="2"/>
  <c r="AI113" i="2"/>
  <c r="AG113" i="2"/>
  <c r="AH113" i="2" s="1"/>
  <c r="AF113" i="2"/>
  <c r="AJ113" i="2"/>
  <c r="AI105" i="2"/>
  <c r="AG105" i="2"/>
  <c r="AH105" i="2" s="1"/>
  <c r="AF105" i="2"/>
  <c r="AJ105" i="2"/>
  <c r="AI104" i="2"/>
  <c r="AG104" i="2"/>
  <c r="AH104" i="2" s="1"/>
  <c r="AF104" i="2"/>
  <c r="AJ104" i="2"/>
  <c r="AI103" i="2"/>
  <c r="AG103" i="2"/>
  <c r="AH103" i="2" s="1"/>
  <c r="AF103" i="2"/>
  <c r="AJ103" i="2"/>
  <c r="AI102" i="2"/>
  <c r="AG102" i="2"/>
  <c r="AH102" i="2" s="1"/>
  <c r="AF102" i="2"/>
  <c r="AJ102" i="2"/>
  <c r="AI101" i="2"/>
  <c r="AG101" i="2"/>
  <c r="AH101" i="2" s="1"/>
  <c r="AF101" i="2"/>
  <c r="AJ101" i="2"/>
  <c r="AI100" i="2"/>
  <c r="AG100" i="2"/>
  <c r="AH100" i="2" s="1"/>
  <c r="AF100" i="2"/>
  <c r="AJ100" i="2"/>
  <c r="AI99" i="2"/>
  <c r="AG99" i="2"/>
  <c r="AH99" i="2" s="1"/>
  <c r="AF99" i="2"/>
  <c r="AJ99" i="2"/>
  <c r="AI98" i="2"/>
  <c r="AG98" i="2"/>
  <c r="AH98" i="2" s="1"/>
  <c r="AF98" i="2"/>
  <c r="AJ98" i="2"/>
  <c r="AI97" i="2"/>
  <c r="AG97" i="2"/>
  <c r="AH97" i="2" s="1"/>
  <c r="AF97" i="2"/>
  <c r="AJ97" i="2"/>
  <c r="AI89" i="2"/>
  <c r="AG89" i="2"/>
  <c r="AH89" i="2" s="1"/>
  <c r="AF89" i="2"/>
  <c r="AJ89" i="2"/>
  <c r="AI88" i="2"/>
  <c r="AG88" i="2"/>
  <c r="AH88" i="2" s="1"/>
  <c r="AF88" i="2"/>
  <c r="AJ88" i="2"/>
  <c r="AI87" i="2"/>
  <c r="AG87" i="2"/>
  <c r="AH87" i="2" s="1"/>
  <c r="AF87" i="2"/>
  <c r="AJ87" i="2"/>
  <c r="AI86" i="2"/>
  <c r="AG86" i="2"/>
  <c r="AH86" i="2" s="1"/>
  <c r="AF86" i="2"/>
  <c r="AJ86" i="2"/>
  <c r="AI85" i="2"/>
  <c r="AG85" i="2"/>
  <c r="AH85" i="2" s="1"/>
  <c r="AF85" i="2"/>
  <c r="AJ85" i="2"/>
  <c r="AI84" i="2"/>
  <c r="AG84" i="2"/>
  <c r="AH84" i="2" s="1"/>
  <c r="AF84" i="2"/>
  <c r="AJ84" i="2"/>
  <c r="AI76" i="2"/>
  <c r="AG76" i="2"/>
  <c r="AH76" i="2" s="1"/>
  <c r="AF76" i="2"/>
  <c r="AJ76" i="2"/>
  <c r="AI75" i="2"/>
  <c r="AG75" i="2"/>
  <c r="AH75" i="2" s="1"/>
  <c r="AF75" i="2"/>
  <c r="AJ75" i="2"/>
  <c r="AI74" i="2"/>
  <c r="AG74" i="2"/>
  <c r="AH74" i="2" s="1"/>
  <c r="AF74" i="2"/>
  <c r="AJ74" i="2"/>
  <c r="AI73" i="2"/>
  <c r="AG73" i="2"/>
  <c r="AH73" i="2" s="1"/>
  <c r="AF73" i="2"/>
  <c r="AJ73" i="2"/>
  <c r="AI72" i="2"/>
  <c r="AG72" i="2"/>
  <c r="AH72" i="2" s="1"/>
  <c r="AF72" i="2"/>
  <c r="AJ72" i="2"/>
  <c r="AI71" i="2"/>
  <c r="AG71" i="2"/>
  <c r="AH71" i="2" s="1"/>
  <c r="AF71" i="2"/>
  <c r="AJ71" i="2"/>
  <c r="AI63" i="2"/>
  <c r="AG63" i="2"/>
  <c r="AH63" i="2" s="1"/>
  <c r="AF63" i="2"/>
  <c r="AJ63" i="2"/>
  <c r="AI62" i="2"/>
  <c r="AG62" i="2"/>
  <c r="AH62" i="2" s="1"/>
  <c r="AF62" i="2"/>
  <c r="AJ62" i="2"/>
  <c r="AI61" i="2"/>
  <c r="AG61" i="2"/>
  <c r="AH61" i="2" s="1"/>
  <c r="AF61" i="2"/>
  <c r="AJ61" i="2"/>
  <c r="AI60" i="2"/>
  <c r="AG60" i="2"/>
  <c r="AH60" i="2" s="1"/>
  <c r="AF60" i="2"/>
  <c r="AJ60" i="2"/>
  <c r="AI59" i="2"/>
  <c r="AG59" i="2"/>
  <c r="AH59" i="2" s="1"/>
  <c r="AF59" i="2"/>
  <c r="AJ59" i="2"/>
  <c r="AI58" i="2"/>
  <c r="AG58" i="2"/>
  <c r="AH58" i="2" s="1"/>
  <c r="AF58" i="2"/>
  <c r="AJ58" i="2"/>
  <c r="AI57" i="2"/>
  <c r="AG57" i="2"/>
  <c r="AH57" i="2" s="1"/>
  <c r="AF57" i="2"/>
  <c r="AJ57" i="2"/>
  <c r="AI56" i="2"/>
  <c r="AG56" i="2"/>
  <c r="AH56" i="2" s="1"/>
  <c r="AF56" i="2"/>
  <c r="AJ56" i="2"/>
  <c r="AI48" i="2"/>
  <c r="AG48" i="2"/>
  <c r="AH48" i="2" s="1"/>
  <c r="AF48" i="2"/>
  <c r="AJ48" i="2"/>
  <c r="AI47" i="2"/>
  <c r="AG47" i="2"/>
  <c r="AH47" i="2" s="1"/>
  <c r="AF47" i="2"/>
  <c r="AJ47" i="2"/>
  <c r="AI46" i="2"/>
  <c r="AG46" i="2"/>
  <c r="AH46" i="2" s="1"/>
  <c r="AF46" i="2"/>
  <c r="AJ46" i="2"/>
  <c r="AI45" i="2"/>
  <c r="AG45" i="2"/>
  <c r="AH45" i="2" s="1"/>
  <c r="AF45" i="2"/>
  <c r="AJ45" i="2"/>
  <c r="AI44" i="2"/>
  <c r="AG44" i="2"/>
  <c r="AH44" i="2" s="1"/>
  <c r="AF44" i="2"/>
  <c r="AJ44" i="2"/>
  <c r="AI43" i="2"/>
  <c r="AG43" i="2"/>
  <c r="AH43" i="2" s="1"/>
  <c r="AF43" i="2"/>
  <c r="AJ43" i="2"/>
  <c r="AI42" i="2"/>
  <c r="AG42" i="2"/>
  <c r="AH42" i="2" s="1"/>
  <c r="AF42" i="2"/>
  <c r="AJ42" i="2"/>
  <c r="AI41" i="2"/>
  <c r="AG41" i="2"/>
  <c r="AH41" i="2" s="1"/>
  <c r="AF41" i="2"/>
  <c r="AJ41" i="2"/>
  <c r="AI40" i="2"/>
  <c r="AG40" i="2"/>
  <c r="AH40" i="2" s="1"/>
  <c r="AF40" i="2"/>
  <c r="AJ40" i="2"/>
  <c r="AI32" i="2"/>
  <c r="AG32" i="2"/>
  <c r="AH32" i="2" s="1"/>
  <c r="AE32" i="2"/>
  <c r="Y32" i="2"/>
  <c r="AI31" i="2"/>
  <c r="AG31" i="2"/>
  <c r="AH31" i="2" s="1"/>
  <c r="AE31" i="2"/>
  <c r="Y31" i="2"/>
  <c r="AI30" i="2"/>
  <c r="AG30" i="2"/>
  <c r="AH30" i="2" s="1"/>
  <c r="AE30" i="2"/>
  <c r="Y30" i="2"/>
  <c r="AI29" i="2"/>
  <c r="AG29" i="2"/>
  <c r="AH29" i="2" s="1"/>
  <c r="AE29" i="2"/>
  <c r="Y29" i="2"/>
  <c r="AI28" i="2"/>
  <c r="AG28" i="2"/>
  <c r="AH28" i="2" s="1"/>
  <c r="AE28" i="2"/>
  <c r="Y28" i="2"/>
  <c r="AI27" i="2"/>
  <c r="AG27" i="2"/>
  <c r="AH27" i="2" s="1"/>
  <c r="AE27" i="2"/>
  <c r="Y27" i="2"/>
  <c r="AI26" i="2"/>
  <c r="AG26" i="2"/>
  <c r="AH26" i="2" s="1"/>
  <c r="AE26" i="2"/>
  <c r="Y26" i="2"/>
  <c r="AI25" i="2"/>
  <c r="AG25" i="2"/>
  <c r="AH25" i="2" s="1"/>
  <c r="AE25" i="2"/>
  <c r="Y25" i="2"/>
  <c r="AI24" i="2"/>
  <c r="AG24" i="2"/>
  <c r="AH24" i="2" s="1"/>
  <c r="AE24" i="2"/>
  <c r="Y24" i="2"/>
  <c r="AI16" i="2"/>
  <c r="AG16" i="2"/>
  <c r="AH16" i="2" s="1"/>
  <c r="AF16" i="2"/>
  <c r="AJ16" i="2"/>
  <c r="AI15" i="2"/>
  <c r="AG15" i="2"/>
  <c r="AH15" i="2" s="1"/>
  <c r="AF15" i="2"/>
  <c r="AJ15" i="2"/>
  <c r="AI14" i="2"/>
  <c r="AG14" i="2"/>
  <c r="AH14" i="2" s="1"/>
  <c r="AF14" i="2"/>
  <c r="AJ14" i="2"/>
  <c r="AI13" i="2"/>
  <c r="AG13" i="2"/>
  <c r="AH13" i="2" s="1"/>
  <c r="AF13" i="2"/>
  <c r="AJ13" i="2"/>
  <c r="AI12" i="2"/>
  <c r="AG12" i="2"/>
  <c r="AH12" i="2" s="1"/>
  <c r="AF12" i="2"/>
  <c r="AJ12" i="2"/>
  <c r="AI11" i="2"/>
  <c r="AG11" i="2"/>
  <c r="AH11" i="2" s="1"/>
  <c r="AF11" i="2"/>
  <c r="AJ11" i="2"/>
  <c r="AI10" i="2"/>
  <c r="AG10" i="2"/>
  <c r="AH10" i="2" s="1"/>
  <c r="AF10" i="2"/>
  <c r="AJ10" i="2"/>
  <c r="AI9" i="2"/>
  <c r="AG9" i="2"/>
  <c r="AH9" i="2" s="1"/>
  <c r="AF9" i="2"/>
  <c r="AJ9" i="2"/>
  <c r="AI8" i="2"/>
  <c r="AG8" i="2"/>
  <c r="AH8" i="2" s="1"/>
  <c r="AF8" i="2"/>
  <c r="AJ8" i="2"/>
  <c r="AF183" i="2" l="1"/>
  <c r="AI183" i="2"/>
  <c r="AG183" i="2"/>
  <c r="Y183" i="2"/>
  <c r="F183" i="2"/>
  <c r="N183" i="2" s="1"/>
  <c r="G183" i="2"/>
  <c r="O183" i="2" s="1"/>
  <c r="H183" i="2"/>
  <c r="P183" i="2" s="1"/>
  <c r="I183" i="2"/>
  <c r="Q183" i="2" s="1"/>
  <c r="J183" i="2"/>
  <c r="R183" i="2" s="1"/>
  <c r="M183" i="2"/>
  <c r="AF182" i="2"/>
  <c r="AI182" i="2"/>
  <c r="AG182" i="2"/>
  <c r="Y182" i="2"/>
  <c r="F182" i="2"/>
  <c r="N182" i="2" s="1"/>
  <c r="G182" i="2"/>
  <c r="O182" i="2" s="1"/>
  <c r="H182" i="2"/>
  <c r="P182" i="2" s="1"/>
  <c r="I182" i="2"/>
  <c r="Q182" i="2" s="1"/>
  <c r="J182" i="2"/>
  <c r="R182" i="2" s="1"/>
  <c r="M182" i="2"/>
  <c r="AF181" i="2"/>
  <c r="AI181" i="2"/>
  <c r="AG181" i="2"/>
  <c r="Y181" i="2"/>
  <c r="F181" i="2"/>
  <c r="N181" i="2" s="1"/>
  <c r="G181" i="2"/>
  <c r="O181" i="2" s="1"/>
  <c r="H181" i="2"/>
  <c r="P181" i="2" s="1"/>
  <c r="I181" i="2"/>
  <c r="Q181" i="2" s="1"/>
  <c r="J181" i="2"/>
  <c r="R181" i="2" s="1"/>
  <c r="M181" i="2"/>
  <c r="AG180" i="2"/>
  <c r="Y180" i="2"/>
  <c r="AF180" i="2"/>
  <c r="AI180" i="2"/>
  <c r="F180" i="2"/>
  <c r="N180" i="2" s="1"/>
  <c r="G180" i="2"/>
  <c r="O180" i="2" s="1"/>
  <c r="H180" i="2"/>
  <c r="P180" i="2" s="1"/>
  <c r="I180" i="2"/>
  <c r="Q180" i="2" s="1"/>
  <c r="J180" i="2"/>
  <c r="R180" i="2" s="1"/>
  <c r="M180" i="2"/>
  <c r="AF178" i="2"/>
  <c r="AI178" i="2"/>
  <c r="AF179" i="2"/>
  <c r="AI179" i="2"/>
  <c r="E178" i="2"/>
  <c r="E179" i="2"/>
  <c r="AF158" i="2"/>
  <c r="AJ158" i="2"/>
  <c r="AF157" i="2"/>
  <c r="AJ157" i="2"/>
  <c r="AF156" i="2"/>
  <c r="AJ156" i="2"/>
  <c r="AF155" i="2"/>
  <c r="AJ155" i="2"/>
  <c r="AF154" i="2"/>
  <c r="AJ154" i="2"/>
  <c r="AF153" i="2"/>
  <c r="AJ153" i="2"/>
  <c r="AF32" i="2"/>
  <c r="AJ32" i="2"/>
  <c r="AF31" i="2"/>
  <c r="AJ31" i="2"/>
  <c r="AF30" i="2"/>
  <c r="AJ30" i="2"/>
  <c r="AF29" i="2"/>
  <c r="AJ29" i="2"/>
  <c r="AF28" i="2"/>
  <c r="AJ28" i="2"/>
  <c r="AF27" i="2"/>
  <c r="AJ27" i="2"/>
  <c r="AF26" i="2"/>
  <c r="AJ26" i="2"/>
  <c r="AF25" i="2"/>
  <c r="AJ25" i="2"/>
  <c r="AF24" i="2"/>
  <c r="AJ24" i="2"/>
  <c r="N158" i="2"/>
  <c r="J158" i="2"/>
  <c r="R158" i="2" s="1"/>
  <c r="I158" i="2"/>
  <c r="Q158" i="2" s="1"/>
  <c r="H158" i="2"/>
  <c r="P158" i="2" s="1"/>
  <c r="G158" i="2"/>
  <c r="O158" i="2" s="1"/>
  <c r="N157" i="2"/>
  <c r="J157" i="2"/>
  <c r="R157" i="2" s="1"/>
  <c r="I157" i="2"/>
  <c r="Q157" i="2" s="1"/>
  <c r="H157" i="2"/>
  <c r="P157" i="2" s="1"/>
  <c r="G157" i="2"/>
  <c r="O157" i="2" s="1"/>
  <c r="AA178" i="2" l="1"/>
  <c r="F178" i="2"/>
  <c r="N178" i="2" s="1"/>
  <c r="G178" i="2"/>
  <c r="O178" i="2" s="1"/>
  <c r="H178" i="2"/>
  <c r="P178" i="2" s="1"/>
  <c r="I178" i="2"/>
  <c r="Q178" i="2" s="1"/>
  <c r="J178" i="2"/>
  <c r="R178" i="2" s="1"/>
  <c r="M178" i="2"/>
  <c r="AA179" i="2"/>
  <c r="F179" i="2"/>
  <c r="N179" i="2" s="1"/>
  <c r="G179" i="2"/>
  <c r="O179" i="2" s="1"/>
  <c r="H179" i="2"/>
  <c r="P179" i="2" s="1"/>
  <c r="I179" i="2"/>
  <c r="Q179" i="2" s="1"/>
  <c r="J179" i="2"/>
  <c r="R179" i="2" s="1"/>
  <c r="M179" i="2"/>
  <c r="Y178" i="2" l="1"/>
  <c r="AG178" i="2"/>
  <c r="Y179" i="2"/>
  <c r="AG179" i="2"/>
</calcChain>
</file>

<file path=xl/sharedStrings.xml><?xml version="1.0" encoding="utf-8"?>
<sst xmlns="http://schemas.openxmlformats.org/spreadsheetml/2006/main" count="803" uniqueCount="78">
  <si>
    <t>CAMPUS</t>
  </si>
  <si>
    <t>LEVEL</t>
  </si>
  <si>
    <t>Age</t>
  </si>
  <si>
    <t>WHOLE YEAR FEES  SY 2026-27</t>
  </si>
  <si>
    <t>15% DOWN PAYMENT</t>
  </si>
  <si>
    <t>ANNUAL (due on AUG 7)</t>
  </si>
  <si>
    <t>LGE/ALW</t>
  </si>
  <si>
    <t xml:space="preserve">Infant Community/ Pre-casa </t>
  </si>
  <si>
    <t>Below 2 years old</t>
  </si>
  <si>
    <t xml:space="preserve">Casa 1 &amp; 2  (half-day) </t>
  </si>
  <si>
    <t>3 - 4 years old</t>
  </si>
  <si>
    <t xml:space="preserve">Casa 3 (whole-day) </t>
  </si>
  <si>
    <t>5 years old</t>
  </si>
  <si>
    <t xml:space="preserve">Level 1 (Gr 1-3) </t>
  </si>
  <si>
    <t>6 - 8 years old</t>
  </si>
  <si>
    <t xml:space="preserve">Level 2 (Gr 4-5) </t>
  </si>
  <si>
    <t>9 - 10 years old</t>
  </si>
  <si>
    <t xml:space="preserve">Level 2 (Gr 6) </t>
  </si>
  <si>
    <t>11 year old</t>
  </si>
  <si>
    <t xml:space="preserve">Level 3 (Gr 7-9) </t>
  </si>
  <si>
    <t>12 - 14 years old</t>
  </si>
  <si>
    <t xml:space="preserve">Level 4 (Gr 10-11) </t>
  </si>
  <si>
    <t>15 - 16 years old</t>
  </si>
  <si>
    <t xml:space="preserve">Level 4 (Gr 12) </t>
  </si>
  <si>
    <t>17 years old</t>
  </si>
  <si>
    <t>DVO</t>
  </si>
  <si>
    <t>CBU</t>
  </si>
  <si>
    <t>BQC</t>
  </si>
  <si>
    <t>MCK / BYN</t>
  </si>
  <si>
    <t>ALB</t>
  </si>
  <si>
    <t>ANT</t>
  </si>
  <si>
    <t>STR</t>
  </si>
  <si>
    <t>GRH</t>
  </si>
  <si>
    <t>MLV</t>
  </si>
  <si>
    <t>SRG</t>
  </si>
  <si>
    <t>ILO (with pioneer discount of 20%)</t>
  </si>
  <si>
    <t>SY 2026-2027</t>
  </si>
  <si>
    <t>with SIBLING DISCOUNT</t>
  </si>
  <si>
    <t>PAYMENT OPTIONS</t>
  </si>
  <si>
    <r>
      <t>SLOT RESERVATION 15% DOWN PAYMENT</t>
    </r>
    <r>
      <rPr>
        <sz val="11"/>
        <color rgb="FF000000"/>
        <rFont val="Arial"/>
        <family val="2"/>
      </rPr>
      <t xml:space="preserve"> reserves a slot; pay within 24 Mar and 13Apr</t>
    </r>
  </si>
  <si>
    <r>
      <t>ANNUAL</t>
    </r>
    <r>
      <rPr>
        <sz val="11"/>
        <color rgb="FF000000"/>
        <rFont val="Arial"/>
        <family val="2"/>
        <charset val="204"/>
      </rPr>
      <t xml:space="preserve"> Balance due on or before 07Aug</t>
    </r>
  </si>
  <si>
    <r>
      <t>SEMI ANNUAL</t>
    </r>
    <r>
      <rPr>
        <sz val="11"/>
        <color rgb="FF000000"/>
        <rFont val="Arial"/>
        <family val="2"/>
        <charset val="204"/>
      </rPr>
      <t xml:space="preserve">  Balance due 07Aug and 07Dec</t>
    </r>
  </si>
  <si>
    <r>
      <t>QUARTER</t>
    </r>
    <r>
      <rPr>
        <sz val="11"/>
        <color rgb="FF000000"/>
        <rFont val="Arial"/>
        <family val="2"/>
      </rPr>
      <t xml:space="preserve">   Balance Due 07Aug, 07Oct, 07Dec, and 07Mar</t>
    </r>
  </si>
  <si>
    <r>
      <t xml:space="preserve">MONTHLY </t>
    </r>
    <r>
      <rPr>
        <sz val="11"/>
        <color rgb="FF000000"/>
        <rFont val="Arial"/>
        <family val="2"/>
      </rPr>
      <t xml:space="preserve"> Balance Every 7th of the month starting Aug 2026</t>
    </r>
  </si>
  <si>
    <r>
      <t>NEW RATE</t>
    </r>
    <r>
      <rPr>
        <sz val="11"/>
        <color rgb="FF000000"/>
        <rFont val="Arial"/>
        <family val="2"/>
      </rPr>
      <t xml:space="preserve"> SY2026-27</t>
    </r>
  </si>
  <si>
    <r>
      <t xml:space="preserve">PRESENT RATE  </t>
    </r>
    <r>
      <rPr>
        <sz val="11"/>
        <color rgb="FF000000"/>
        <rFont val="Arial"/>
        <family val="2"/>
        <charset val="204"/>
      </rPr>
      <t xml:space="preserve">   SY2025-26  </t>
    </r>
  </si>
  <si>
    <t>Pay this amount for Incentivized Early Enrolment (IEE)</t>
  </si>
  <si>
    <t>Discount</t>
  </si>
  <si>
    <t>Tuition Fees</t>
  </si>
  <si>
    <t>Communal Consumables and other Fees</t>
  </si>
  <si>
    <t>Memory Book</t>
  </si>
  <si>
    <t>IEE rate</t>
  </si>
  <si>
    <t>New Rate</t>
  </si>
  <si>
    <t xml:space="preserve">Infant Community/ Pre-Casa </t>
  </si>
  <si>
    <r>
      <t>Casa 1 &amp; 2  (half-day)</t>
    </r>
    <r>
      <rPr>
        <vertAlign val="superscript"/>
        <sz val="11"/>
        <color rgb="FF000000"/>
        <rFont val="Arial"/>
        <family val="2"/>
        <charset val="204"/>
      </rPr>
      <t xml:space="preserve"> </t>
    </r>
  </si>
  <si>
    <t xml:space="preserve"> Fees include communal consumables.   For Casa 3, Grade 6 &amp; Grade 12, fees include Memory Book.</t>
  </si>
  <si>
    <t>Erdkinder Fee includes farm consummables &amp; lab fees.</t>
  </si>
  <si>
    <t>Installment Mode of Payments incur additional carrying fees ; 8% for Semi Annual, 10% for Quarterly, 12% for Monthly.</t>
  </si>
  <si>
    <t xml:space="preserve"> PAYMENT OPTIONS</t>
  </si>
  <si>
    <r>
      <rPr>
        <b/>
        <sz val="11"/>
        <color rgb="FF000000"/>
        <rFont val="Arial"/>
      </rPr>
      <t>SLOT RESERVATION 15% DOWN PAYMENT</t>
    </r>
    <r>
      <rPr>
        <sz val="11"/>
        <color rgb="FF000000"/>
        <rFont val="Arial"/>
      </rPr>
      <t xml:space="preserve"> reserves a slot; pay within 24 Mar and 13Apr</t>
    </r>
  </si>
  <si>
    <r>
      <rPr>
        <b/>
        <sz val="11"/>
        <color theme="1"/>
        <rFont val="Arial"/>
        <family val="2"/>
      </rPr>
      <t>ANNUAL</t>
    </r>
    <r>
      <rPr>
        <sz val="11"/>
        <color theme="1"/>
        <rFont val="Aptos Narrow"/>
        <family val="2"/>
        <scheme val="minor"/>
      </rPr>
      <t xml:space="preserve"> Balance due on or before 07Aug</t>
    </r>
  </si>
  <si>
    <r>
      <rPr>
        <b/>
        <sz val="11"/>
        <color theme="1"/>
        <rFont val="Arial"/>
        <family val="2"/>
      </rPr>
      <t>SEMI ANNUAL</t>
    </r>
    <r>
      <rPr>
        <sz val="11"/>
        <color theme="1"/>
        <rFont val="Aptos Narrow"/>
        <family val="2"/>
        <scheme val="minor"/>
      </rPr>
      <t xml:space="preserve">  Balance due 07Aug and 07Dec</t>
    </r>
  </si>
  <si>
    <r>
      <rPr>
        <b/>
        <sz val="11"/>
        <color rgb="FF000000"/>
        <rFont val="Arial"/>
      </rPr>
      <t>QUARTER</t>
    </r>
    <r>
      <rPr>
        <sz val="11"/>
        <color rgb="FF000000"/>
        <rFont val="Arial"/>
      </rPr>
      <t xml:space="preserve">   Balance Due 07Aug, 07Oct, 07Dec, and 07Mar</t>
    </r>
  </si>
  <si>
    <r>
      <rPr>
        <b/>
        <sz val="11"/>
        <color rgb="FF000000"/>
        <rFont val="Arial"/>
      </rPr>
      <t xml:space="preserve">MONTHLY </t>
    </r>
    <r>
      <rPr>
        <sz val="11"/>
        <color rgb="FF000000"/>
        <rFont val="Arial"/>
      </rPr>
      <t xml:space="preserve"> Balance Every 7th of the month starting Aug 2026</t>
    </r>
  </si>
  <si>
    <r>
      <t>Casa 1 &amp; 2  (half-day)</t>
    </r>
    <r>
      <rPr>
        <vertAlign val="superscript"/>
        <sz val="11"/>
        <color indexed="8"/>
        <rFont val="Arial"/>
        <family val="2"/>
        <charset val="204"/>
      </rPr>
      <t xml:space="preserve"> </t>
    </r>
  </si>
  <si>
    <t xml:space="preserve"> Fees include communal consumables.   For Casa 3 and Grade 6, fees included Memory Book.</t>
  </si>
  <si>
    <r>
      <rPr>
        <b/>
        <sz val="11"/>
        <color rgb="FF000000"/>
        <rFont val="Arial"/>
      </rPr>
      <t>MAIDEN YEAR SY 2026-2027 15%</t>
    </r>
    <r>
      <rPr>
        <sz val="12"/>
        <color rgb="FF000000"/>
        <rFont val="Calibri"/>
      </rPr>
      <t xml:space="preserve"> </t>
    </r>
  </si>
  <si>
    <r>
      <rPr>
        <b/>
        <sz val="11"/>
        <color theme="1"/>
        <rFont val="Arial"/>
        <family val="2"/>
      </rPr>
      <t xml:space="preserve">WHOLE YEAR FEES  SY 2025-26  </t>
    </r>
    <r>
      <rPr>
        <sz val="11"/>
        <color theme="1"/>
        <rFont val="Aptos Narrow"/>
        <family val="2"/>
        <scheme val="minor"/>
      </rPr>
      <t xml:space="preserve">  </t>
    </r>
  </si>
  <si>
    <r>
      <rPr>
        <b/>
        <sz val="11"/>
        <color rgb="FF000000"/>
        <rFont val="Arial"/>
      </rPr>
      <t>RATE</t>
    </r>
    <r>
      <rPr>
        <sz val="12"/>
        <color rgb="FF000000"/>
        <rFont val="Calibri"/>
        <scheme val="minor"/>
      </rPr>
      <t xml:space="preserve"> SY2025-26         </t>
    </r>
  </si>
  <si>
    <t>MAIDEN YEAR SY 2025-2026 15%</t>
  </si>
  <si>
    <t>ILO</t>
  </si>
  <si>
    <t>ILOILO PIONEER DISCOUNT</t>
  </si>
  <si>
    <t xml:space="preserve"> SY 2026-2027 20%</t>
  </si>
  <si>
    <t>SY 2027-2028 15%</t>
  </si>
  <si>
    <t xml:space="preserve"> SY 2028-2029 10%</t>
  </si>
  <si>
    <t xml:space="preserve"> SY 2029-2030 5%</t>
  </si>
  <si>
    <r>
      <rPr>
        <b/>
        <sz val="11"/>
        <color rgb="FF000000"/>
        <rFont val="Arial"/>
      </rPr>
      <t>MAIDEN YEAR SY 2026-2027 20%</t>
    </r>
    <r>
      <rPr>
        <sz val="12"/>
        <color rgb="FF000000"/>
        <rFont val="Calibri"/>
      </rPr>
      <t xml:space="preserve"> </t>
    </r>
  </si>
  <si>
    <t>Fees include communal consumables.   For Casa 3, Grade 6 &amp; Grade 12, fees include Memory 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</si>
</sst>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vertAlign val="superscript"/>
      <sz val="11"/>
      <color rgb="FF000000"/>
      <name val="Arial"/>
      <family val="2"/>
      <charset val="204"/>
    </font>
    <font>
      <i/>
      <sz val="11"/>
      <color rgb="FF000000"/>
      <name val="Arial"/>
      <family val="2"/>
      <charset val="204"/>
    </font>
    <font>
      <i/>
      <sz val="11"/>
      <color rgb="FF000000"/>
      <name val="Arial"/>
      <family val="2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theme="1"/>
      <name val="Arial"/>
      <family val="2"/>
    </font>
    <font>
      <sz val="11"/>
      <color indexed="8"/>
      <name val="Arial"/>
      <charset val="204"/>
    </font>
    <font>
      <vertAlign val="superscript"/>
      <sz val="11"/>
      <color indexed="8"/>
      <name val="Arial"/>
      <family val="2"/>
      <charset val="204"/>
    </font>
    <font>
      <i/>
      <sz val="11"/>
      <color indexed="8"/>
      <name val="Arial"/>
      <charset val="204"/>
    </font>
    <font>
      <i/>
      <sz val="11"/>
      <color theme="1"/>
      <name val="Arial"/>
    </font>
    <font>
      <b/>
      <i/>
      <sz val="11"/>
      <color rgb="FF000000"/>
      <name val="Arial"/>
      <family val="2"/>
    </font>
    <font>
      <sz val="12"/>
      <color rgb="FF000000"/>
      <name val="Calibri"/>
    </font>
    <font>
      <sz val="11"/>
      <color theme="1"/>
      <name val="Arial"/>
      <family val="2"/>
    </font>
    <font>
      <sz val="12"/>
      <color rgb="FF000000"/>
      <name val="Calibri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6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5" fillId="0" borderId="0" xfId="0" applyFont="1"/>
    <xf numFmtId="43" fontId="0" fillId="0" borderId="0" xfId="1" applyFont="1"/>
    <xf numFmtId="43" fontId="0" fillId="2" borderId="0" xfId="1" applyFont="1" applyFill="1"/>
    <xf numFmtId="0" fontId="0" fillId="4" borderId="0" xfId="0" applyFill="1"/>
    <xf numFmtId="0" fontId="2" fillId="0" borderId="0" xfId="0" applyFont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43" fontId="8" fillId="0" borderId="0" xfId="1" applyFont="1" applyAlignment="1">
      <alignment vertical="center"/>
    </xf>
    <xf numFmtId="43" fontId="8" fillId="2" borderId="0" xfId="1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4" fillId="5" borderId="10" xfId="0" applyFont="1" applyFill="1" applyBorder="1"/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/>
    <xf numFmtId="0" fontId="4" fillId="5" borderId="13" xfId="0" applyFont="1" applyFill="1" applyBorder="1"/>
    <xf numFmtId="0" fontId="4" fillId="5" borderId="0" xfId="0" applyFont="1" applyFill="1"/>
    <xf numFmtId="0" fontId="4" fillId="3" borderId="10" xfId="0" applyFont="1" applyFill="1" applyBorder="1"/>
    <xf numFmtId="0" fontId="4" fillId="3" borderId="11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4" xfId="0" applyFont="1" applyFill="1" applyBorder="1"/>
    <xf numFmtId="0" fontId="4" fillId="0" borderId="11" xfId="0" applyFont="1" applyBorder="1"/>
    <xf numFmtId="0" fontId="4" fillId="0" borderId="15" xfId="0" applyFont="1" applyBorder="1"/>
    <xf numFmtId="43" fontId="0" fillId="0" borderId="0" xfId="1" applyFont="1" applyAlignment="1">
      <alignment wrapText="1"/>
    </xf>
    <xf numFmtId="43" fontId="0" fillId="2" borderId="0" xfId="1" applyFont="1" applyFill="1" applyAlignment="1">
      <alignment wrapText="1"/>
    </xf>
    <xf numFmtId="0" fontId="4" fillId="5" borderId="16" xfId="0" applyFont="1" applyFill="1" applyBorder="1"/>
    <xf numFmtId="4" fontId="4" fillId="0" borderId="17" xfId="0" applyNumberFormat="1" applyFont="1" applyBorder="1"/>
    <xf numFmtId="4" fontId="4" fillId="0" borderId="18" xfId="0" applyNumberFormat="1" applyFont="1" applyBorder="1"/>
    <xf numFmtId="4" fontId="4" fillId="0" borderId="19" xfId="0" applyNumberFormat="1" applyFont="1" applyBorder="1"/>
    <xf numFmtId="4" fontId="4" fillId="0" borderId="20" xfId="0" applyNumberFormat="1" applyFont="1" applyBorder="1"/>
    <xf numFmtId="4" fontId="4" fillId="0" borderId="0" xfId="0" applyNumberFormat="1" applyFont="1"/>
    <xf numFmtId="0" fontId="4" fillId="3" borderId="21" xfId="0" applyFont="1" applyFill="1" applyBorder="1"/>
    <xf numFmtId="4" fontId="4" fillId="3" borderId="21" xfId="0" applyNumberFormat="1" applyFont="1" applyFill="1" applyBorder="1"/>
    <xf numFmtId="0" fontId="4" fillId="0" borderId="16" xfId="0" applyFont="1" applyBorder="1"/>
    <xf numFmtId="4" fontId="5" fillId="0" borderId="20" xfId="0" applyNumberFormat="1" applyFont="1" applyBorder="1"/>
    <xf numFmtId="2" fontId="0" fillId="0" borderId="0" xfId="0" applyNumberFormat="1"/>
    <xf numFmtId="10" fontId="0" fillId="0" borderId="0" xfId="2" applyNumberFormat="1" applyFont="1"/>
    <xf numFmtId="43" fontId="0" fillId="0" borderId="0" xfId="0" applyNumberFormat="1"/>
    <xf numFmtId="43" fontId="0" fillId="4" borderId="0" xfId="0" applyNumberFormat="1" applyFill="1"/>
    <xf numFmtId="0" fontId="4" fillId="5" borderId="22" xfId="0" applyFont="1" applyFill="1" applyBorder="1" applyAlignment="1">
      <alignment vertical="center"/>
    </xf>
    <xf numFmtId="4" fontId="4" fillId="0" borderId="23" xfId="0" applyNumberFormat="1" applyFont="1" applyBorder="1"/>
    <xf numFmtId="4" fontId="4" fillId="0" borderId="24" xfId="0" applyNumberFormat="1" applyFont="1" applyBorder="1"/>
    <xf numFmtId="4" fontId="4" fillId="0" borderId="25" xfId="0" applyNumberFormat="1" applyFont="1" applyBorder="1"/>
    <xf numFmtId="4" fontId="4" fillId="0" borderId="26" xfId="0" applyNumberFormat="1" applyFont="1" applyBorder="1"/>
    <xf numFmtId="0" fontId="4" fillId="3" borderId="21" xfId="0" applyFont="1" applyFill="1" applyBorder="1" applyAlignment="1">
      <alignment vertical="center"/>
    </xf>
    <xf numFmtId="0" fontId="4" fillId="0" borderId="22" xfId="0" applyFont="1" applyBorder="1" applyAlignment="1">
      <alignment vertical="center"/>
    </xf>
    <xf numFmtId="4" fontId="5" fillId="0" borderId="26" xfId="0" applyNumberFormat="1" applyFont="1" applyBorder="1"/>
    <xf numFmtId="0" fontId="4" fillId="5" borderId="22" xfId="0" applyFont="1" applyFill="1" applyBorder="1"/>
    <xf numFmtId="0" fontId="4" fillId="0" borderId="22" xfId="0" applyFont="1" applyBorder="1"/>
    <xf numFmtId="0" fontId="4" fillId="5" borderId="27" xfId="0" applyFont="1" applyFill="1" applyBorder="1"/>
    <xf numFmtId="4" fontId="4" fillId="0" borderId="28" xfId="0" applyNumberFormat="1" applyFont="1" applyBorder="1"/>
    <xf numFmtId="4" fontId="4" fillId="0" borderId="29" xfId="0" applyNumberFormat="1" applyFont="1" applyBorder="1"/>
    <xf numFmtId="4" fontId="4" fillId="0" borderId="30" xfId="0" applyNumberFormat="1" applyFont="1" applyBorder="1"/>
    <xf numFmtId="4" fontId="4" fillId="0" borderId="31" xfId="0" applyNumberFormat="1" applyFont="1" applyBorder="1"/>
    <xf numFmtId="0" fontId="4" fillId="0" borderId="27" xfId="0" applyFont="1" applyBorder="1"/>
    <xf numFmtId="4" fontId="5" fillId="0" borderId="31" xfId="0" applyNumberFormat="1" applyFont="1" applyBorder="1"/>
    <xf numFmtId="0" fontId="10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0" fillId="5" borderId="0" xfId="0" applyFont="1" applyFill="1"/>
    <xf numFmtId="0" fontId="10" fillId="3" borderId="0" xfId="0" applyFont="1" applyFill="1"/>
    <xf numFmtId="0" fontId="12" fillId="6" borderId="0" xfId="0" applyFont="1" applyFill="1" applyAlignment="1">
      <alignment horizontal="center" vertical="center"/>
    </xf>
    <xf numFmtId="0" fontId="15" fillId="6" borderId="6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6" borderId="10" xfId="0" applyFill="1" applyBorder="1"/>
    <xf numFmtId="0" fontId="0" fillId="6" borderId="11" xfId="0" applyFill="1" applyBorder="1"/>
    <xf numFmtId="0" fontId="0" fillId="6" borderId="0" xfId="0" applyFill="1"/>
    <xf numFmtId="0" fontId="0" fillId="3" borderId="10" xfId="0" applyFill="1" applyBorder="1"/>
    <xf numFmtId="0" fontId="0" fillId="3" borderId="11" xfId="0" applyFill="1" applyBorder="1"/>
    <xf numFmtId="0" fontId="0" fillId="6" borderId="16" xfId="0" applyFill="1" applyBorder="1"/>
    <xf numFmtId="43" fontId="0" fillId="6" borderId="20" xfId="0" applyNumberFormat="1" applyFill="1" applyBorder="1"/>
    <xf numFmtId="43" fontId="17" fillId="6" borderId="18" xfId="1" applyFont="1" applyFill="1" applyBorder="1"/>
    <xf numFmtId="43" fontId="17" fillId="6" borderId="19" xfId="1" applyFont="1" applyFill="1" applyBorder="1"/>
    <xf numFmtId="43" fontId="0" fillId="6" borderId="19" xfId="0" applyNumberFormat="1" applyFill="1" applyBorder="1"/>
    <xf numFmtId="43" fontId="0" fillId="6" borderId="0" xfId="0" applyNumberFormat="1" applyFill="1"/>
    <xf numFmtId="0" fontId="0" fillId="3" borderId="34" xfId="0" applyFill="1" applyBorder="1"/>
    <xf numFmtId="43" fontId="0" fillId="3" borderId="21" xfId="0" applyNumberFormat="1" applyFill="1" applyBorder="1"/>
    <xf numFmtId="0" fontId="4" fillId="0" borderId="35" xfId="0" applyFont="1" applyBorder="1"/>
    <xf numFmtId="4" fontId="4" fillId="0" borderId="36" xfId="0" applyNumberFormat="1" applyFont="1" applyBorder="1"/>
    <xf numFmtId="4" fontId="5" fillId="0" borderId="37" xfId="0" applyNumberFormat="1" applyFont="1" applyBorder="1"/>
    <xf numFmtId="0" fontId="0" fillId="6" borderId="22" xfId="0" applyFill="1" applyBorder="1" applyAlignment="1">
      <alignment vertical="center"/>
    </xf>
    <xf numFmtId="43" fontId="0" fillId="6" borderId="26" xfId="0" applyNumberFormat="1" applyFill="1" applyBorder="1"/>
    <xf numFmtId="43" fontId="17" fillId="6" borderId="24" xfId="1" applyFont="1" applyFill="1" applyBorder="1"/>
    <xf numFmtId="43" fontId="17" fillId="6" borderId="25" xfId="1" applyFont="1" applyFill="1" applyBorder="1"/>
    <xf numFmtId="43" fontId="0" fillId="6" borderId="25" xfId="0" applyNumberFormat="1" applyFill="1" applyBorder="1"/>
    <xf numFmtId="0" fontId="0" fillId="3" borderId="38" xfId="0" applyFill="1" applyBorder="1" applyAlignment="1">
      <alignment vertical="center"/>
    </xf>
    <xf numFmtId="0" fontId="4" fillId="0" borderId="39" xfId="0" applyFont="1" applyBorder="1" applyAlignment="1">
      <alignment vertical="center"/>
    </xf>
    <xf numFmtId="4" fontId="4" fillId="0" borderId="21" xfId="0" applyNumberFormat="1" applyFont="1" applyBorder="1"/>
    <xf numFmtId="4" fontId="13" fillId="0" borderId="40" xfId="0" applyNumberFormat="1" applyFont="1" applyBorder="1"/>
    <xf numFmtId="0" fontId="0" fillId="6" borderId="22" xfId="0" applyFill="1" applyBorder="1"/>
    <xf numFmtId="0" fontId="0" fillId="3" borderId="38" xfId="0" applyFill="1" applyBorder="1"/>
    <xf numFmtId="0" fontId="4" fillId="0" borderId="39" xfId="0" applyFont="1" applyBorder="1"/>
    <xf numFmtId="0" fontId="0" fillId="6" borderId="27" xfId="0" applyFill="1" applyBorder="1"/>
    <xf numFmtId="43" fontId="0" fillId="6" borderId="31" xfId="0" applyNumberFormat="1" applyFill="1" applyBorder="1"/>
    <xf numFmtId="43" fontId="17" fillId="6" borderId="29" xfId="1" applyFont="1" applyFill="1" applyBorder="1"/>
    <xf numFmtId="43" fontId="17" fillId="6" borderId="30" xfId="1" applyFont="1" applyFill="1" applyBorder="1"/>
    <xf numFmtId="43" fontId="0" fillId="6" borderId="30" xfId="0" applyNumberFormat="1" applyFill="1" applyBorder="1"/>
    <xf numFmtId="0" fontId="0" fillId="3" borderId="41" xfId="0" applyFill="1" applyBorder="1"/>
    <xf numFmtId="0" fontId="4" fillId="0" borderId="42" xfId="0" applyFont="1" applyBorder="1"/>
    <xf numFmtId="4" fontId="4" fillId="0" borderId="43" xfId="0" applyNumberFormat="1" applyFont="1" applyBorder="1"/>
    <xf numFmtId="4" fontId="13" fillId="0" borderId="44" xfId="0" applyNumberFormat="1" applyFont="1" applyBorder="1"/>
    <xf numFmtId="0" fontId="19" fillId="6" borderId="0" xfId="0" applyFont="1" applyFill="1"/>
    <xf numFmtId="0" fontId="19" fillId="3" borderId="0" xfId="0" applyFont="1" applyFill="1"/>
    <xf numFmtId="0" fontId="0" fillId="3" borderId="0" xfId="0" applyFill="1"/>
    <xf numFmtId="0" fontId="20" fillId="6" borderId="0" xfId="0" applyFont="1" applyFill="1" applyAlignment="1">
      <alignment vertical="center" wrapText="1"/>
    </xf>
    <xf numFmtId="0" fontId="4" fillId="0" borderId="0" xfId="0" applyFont="1" applyAlignment="1">
      <alignment horizontal="center"/>
    </xf>
    <xf numFmtId="0" fontId="4" fillId="5" borderId="46" xfId="0" applyFont="1" applyFill="1" applyBorder="1"/>
    <xf numFmtId="0" fontId="4" fillId="3" borderId="46" xfId="0" applyFont="1" applyFill="1" applyBorder="1"/>
    <xf numFmtId="0" fontId="4" fillId="0" borderId="46" xfId="0" applyFont="1" applyBorder="1"/>
    <xf numFmtId="4" fontId="4" fillId="5" borderId="20" xfId="0" applyNumberFormat="1" applyFont="1" applyFill="1" applyBorder="1"/>
    <xf numFmtId="4" fontId="4" fillId="5" borderId="18" xfId="0" applyNumberFormat="1" applyFont="1" applyFill="1" applyBorder="1"/>
    <xf numFmtId="4" fontId="4" fillId="5" borderId="19" xfId="0" applyNumberFormat="1" applyFont="1" applyFill="1" applyBorder="1"/>
    <xf numFmtId="4" fontId="4" fillId="5" borderId="0" xfId="0" applyNumberFormat="1" applyFont="1" applyFill="1"/>
    <xf numFmtId="0" fontId="4" fillId="3" borderId="34" xfId="0" applyFont="1" applyFill="1" applyBorder="1"/>
    <xf numFmtId="4" fontId="4" fillId="5" borderId="26" xfId="0" applyNumberFormat="1" applyFont="1" applyFill="1" applyBorder="1"/>
    <xf numFmtId="4" fontId="4" fillId="5" borderId="24" xfId="0" applyNumberFormat="1" applyFont="1" applyFill="1" applyBorder="1"/>
    <xf numFmtId="4" fontId="4" fillId="5" borderId="25" xfId="0" applyNumberFormat="1" applyFont="1" applyFill="1" applyBorder="1"/>
    <xf numFmtId="0" fontId="4" fillId="3" borderId="38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3" borderId="38" xfId="0" applyFont="1" applyFill="1" applyBorder="1"/>
    <xf numFmtId="0" fontId="4" fillId="0" borderId="23" xfId="0" applyFont="1" applyBorder="1"/>
    <xf numFmtId="4" fontId="4" fillId="5" borderId="31" xfId="0" applyNumberFormat="1" applyFont="1" applyFill="1" applyBorder="1"/>
    <xf numFmtId="4" fontId="4" fillId="5" borderId="29" xfId="0" applyNumberFormat="1" applyFont="1" applyFill="1" applyBorder="1"/>
    <xf numFmtId="4" fontId="4" fillId="5" borderId="30" xfId="0" applyNumberFormat="1" applyFont="1" applyFill="1" applyBorder="1"/>
    <xf numFmtId="0" fontId="4" fillId="3" borderId="41" xfId="0" applyFont="1" applyFill="1" applyBorder="1"/>
    <xf numFmtId="0" fontId="4" fillId="0" borderId="28" xfId="0" applyFont="1" applyBorder="1"/>
    <xf numFmtId="0" fontId="4" fillId="0" borderId="10" xfId="0" applyFont="1" applyBorder="1"/>
    <xf numFmtId="0" fontId="4" fillId="3" borderId="16" xfId="0" applyFont="1" applyFill="1" applyBorder="1"/>
    <xf numFmtId="0" fontId="4" fillId="3" borderId="22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4" fillId="3" borderId="27" xfId="0" applyFont="1" applyFill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5" borderId="38" xfId="0" applyFont="1" applyFill="1" applyBorder="1" applyAlignment="1">
      <alignment vertical="center"/>
    </xf>
    <xf numFmtId="4" fontId="4" fillId="5" borderId="23" xfId="0" applyNumberFormat="1" applyFont="1" applyFill="1" applyBorder="1" applyAlignment="1">
      <alignment horizontal="center" vertical="center"/>
    </xf>
    <xf numFmtId="4" fontId="4" fillId="5" borderId="24" xfId="0" applyNumberFormat="1" applyFont="1" applyFill="1" applyBorder="1" applyAlignment="1">
      <alignment horizontal="center" vertical="center"/>
    </xf>
    <xf numFmtId="4" fontId="4" fillId="5" borderId="25" xfId="0" applyNumberFormat="1" applyFont="1" applyFill="1" applyBorder="1" applyAlignment="1">
      <alignment vertical="center"/>
    </xf>
    <xf numFmtId="4" fontId="4" fillId="5" borderId="25" xfId="0" applyNumberFormat="1" applyFont="1" applyFill="1" applyBorder="1" applyAlignment="1">
      <alignment horizontal="center" vertical="center"/>
    </xf>
    <xf numFmtId="4" fontId="4" fillId="5" borderId="26" xfId="0" applyNumberFormat="1" applyFont="1" applyFill="1" applyBorder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4" fontId="4" fillId="0" borderId="23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vertical="center"/>
    </xf>
    <xf numFmtId="0" fontId="10" fillId="0" borderId="0" xfId="0" applyFont="1"/>
    <xf numFmtId="0" fontId="4" fillId="0" borderId="27" xfId="0" applyFont="1" applyBorder="1" applyAlignment="1">
      <alignment vertical="center"/>
    </xf>
    <xf numFmtId="0" fontId="4" fillId="5" borderId="3" xfId="0" applyFont="1" applyFill="1" applyBorder="1"/>
    <xf numFmtId="0" fontId="4" fillId="5" borderId="7" xfId="0" applyFont="1" applyFill="1" applyBorder="1"/>
    <xf numFmtId="0" fontId="4" fillId="5" borderId="4" xfId="0" applyFont="1" applyFill="1" applyBorder="1"/>
    <xf numFmtId="0" fontId="4" fillId="5" borderId="8" xfId="0" applyFont="1" applyFill="1" applyBorder="1"/>
    <xf numFmtId="0" fontId="4" fillId="3" borderId="3" xfId="0" applyFont="1" applyFill="1" applyBorder="1"/>
    <xf numFmtId="0" fontId="4" fillId="3" borderId="7" xfId="0" applyFont="1" applyFill="1" applyBorder="1"/>
    <xf numFmtId="0" fontId="4" fillId="3" borderId="4" xfId="0" applyFont="1" applyFill="1" applyBorder="1"/>
    <xf numFmtId="0" fontId="4" fillId="3" borderId="8" xfId="0" applyFont="1" applyFill="1" applyBorder="1"/>
    <xf numFmtId="0" fontId="4" fillId="0" borderId="47" xfId="0" applyFont="1" applyBorder="1" applyAlignment="1">
      <alignment horizontal="center" vertical="center" wrapText="1"/>
    </xf>
    <xf numFmtId="0" fontId="4" fillId="5" borderId="48" xfId="0" applyFont="1" applyFill="1" applyBorder="1"/>
    <xf numFmtId="4" fontId="4" fillId="5" borderId="49" xfId="0" applyNumberFormat="1" applyFont="1" applyFill="1" applyBorder="1"/>
    <xf numFmtId="4" fontId="4" fillId="5" borderId="50" xfId="0" applyNumberFormat="1" applyFont="1" applyFill="1" applyBorder="1"/>
    <xf numFmtId="4" fontId="4" fillId="5" borderId="51" xfId="0" applyNumberFormat="1" applyFont="1" applyFill="1" applyBorder="1"/>
    <xf numFmtId="4" fontId="4" fillId="5" borderId="52" xfId="0" applyNumberFormat="1" applyFont="1" applyFill="1" applyBorder="1"/>
    <xf numFmtId="0" fontId="4" fillId="3" borderId="48" xfId="0" applyFont="1" applyFill="1" applyBorder="1"/>
    <xf numFmtId="0" fontId="4" fillId="5" borderId="0" xfId="0" applyFont="1" applyFill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4" fontId="4" fillId="5" borderId="17" xfId="0" applyNumberFormat="1" applyFont="1" applyFill="1" applyBorder="1" applyAlignment="1">
      <alignment horizontal="center" vertical="center"/>
    </xf>
    <xf numFmtId="4" fontId="4" fillId="5" borderId="18" xfId="0" applyNumberFormat="1" applyFont="1" applyFill="1" applyBorder="1" applyAlignment="1">
      <alignment horizontal="center" vertical="center"/>
    </xf>
    <xf numFmtId="4" fontId="4" fillId="5" borderId="19" xfId="0" applyNumberFormat="1" applyFont="1" applyFill="1" applyBorder="1" applyAlignment="1">
      <alignment vertical="center"/>
    </xf>
    <xf numFmtId="4" fontId="4" fillId="5" borderId="19" xfId="0" applyNumberFormat="1" applyFont="1" applyFill="1" applyBorder="1" applyAlignment="1">
      <alignment horizontal="center" vertical="center"/>
    </xf>
    <xf numFmtId="4" fontId="4" fillId="5" borderId="20" xfId="0" applyNumberFormat="1" applyFont="1" applyFill="1" applyBorder="1" applyAlignment="1">
      <alignment horizontal="center" vertical="center"/>
    </xf>
    <xf numFmtId="4" fontId="4" fillId="0" borderId="17" xfId="0" applyNumberFormat="1" applyFont="1" applyBorder="1" applyAlignment="1">
      <alignment horizontal="center" vertical="center"/>
    </xf>
    <xf numFmtId="4" fontId="4" fillId="0" borderId="20" xfId="0" applyNumberFormat="1" applyFont="1" applyBorder="1" applyAlignment="1">
      <alignment vertical="center"/>
    </xf>
    <xf numFmtId="0" fontId="4" fillId="5" borderId="41" xfId="0" applyFont="1" applyFill="1" applyBorder="1" applyAlignment="1">
      <alignment vertical="center"/>
    </xf>
    <xf numFmtId="4" fontId="4" fillId="5" borderId="28" xfId="0" applyNumberFormat="1" applyFont="1" applyFill="1" applyBorder="1" applyAlignment="1">
      <alignment horizontal="center" vertical="center"/>
    </xf>
    <xf numFmtId="4" fontId="4" fillId="5" borderId="29" xfId="0" applyNumberFormat="1" applyFont="1" applyFill="1" applyBorder="1" applyAlignment="1">
      <alignment horizontal="center" vertical="center"/>
    </xf>
    <xf numFmtId="4" fontId="4" fillId="5" borderId="30" xfId="0" applyNumberFormat="1" applyFont="1" applyFill="1" applyBorder="1" applyAlignment="1">
      <alignment vertical="center"/>
    </xf>
    <xf numFmtId="4" fontId="4" fillId="5" borderId="30" xfId="0" applyNumberFormat="1" applyFont="1" applyFill="1" applyBorder="1" applyAlignment="1">
      <alignment horizontal="center" vertical="center"/>
    </xf>
    <xf numFmtId="4" fontId="4" fillId="5" borderId="31" xfId="0" applyNumberFormat="1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vertical="center"/>
    </xf>
    <xf numFmtId="4" fontId="4" fillId="0" borderId="28" xfId="0" applyNumberFormat="1" applyFont="1" applyBorder="1" applyAlignment="1">
      <alignment horizontal="center" vertical="center"/>
    </xf>
    <xf numFmtId="4" fontId="4" fillId="0" borderId="31" xfId="0" applyNumberFormat="1" applyFont="1" applyBorder="1" applyAlignment="1">
      <alignment vertic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4" fillId="5" borderId="17" xfId="0" applyNumberFormat="1" applyFont="1" applyFill="1" applyBorder="1"/>
    <xf numFmtId="4" fontId="4" fillId="5" borderId="23" xfId="0" applyNumberFormat="1" applyFont="1" applyFill="1" applyBorder="1"/>
    <xf numFmtId="4" fontId="4" fillId="5" borderId="28" xfId="0" applyNumberFormat="1" applyFont="1" applyFill="1" applyBorder="1"/>
    <xf numFmtId="0" fontId="21" fillId="0" borderId="0" xfId="0" applyFont="1"/>
    <xf numFmtId="10" fontId="0" fillId="0" borderId="0" xfId="2" applyNumberFormat="1" applyFont="1" applyAlignment="1">
      <alignment vertical="center"/>
    </xf>
    <xf numFmtId="43" fontId="0" fillId="0" borderId="0" xfId="0" applyNumberFormat="1" applyAlignment="1">
      <alignment vertical="center"/>
    </xf>
    <xf numFmtId="0" fontId="8" fillId="0" borderId="0" xfId="0" applyFont="1"/>
    <xf numFmtId="0" fontId="4" fillId="5" borderId="11" xfId="0" applyFont="1" applyFill="1" applyBorder="1"/>
    <xf numFmtId="0" fontId="4" fillId="5" borderId="17" xfId="0" applyFont="1" applyFill="1" applyBorder="1"/>
    <xf numFmtId="0" fontId="4" fillId="3" borderId="17" xfId="0" applyFont="1" applyFill="1" applyBorder="1"/>
    <xf numFmtId="4" fontId="4" fillId="0" borderId="53" xfId="0" applyNumberFormat="1" applyFont="1" applyBorder="1"/>
    <xf numFmtId="0" fontId="4" fillId="5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4" fontId="4" fillId="0" borderId="54" xfId="0" applyNumberFormat="1" applyFont="1" applyBorder="1"/>
    <xf numFmtId="4" fontId="4" fillId="0" borderId="55" xfId="0" applyNumberFormat="1" applyFont="1" applyBorder="1"/>
    <xf numFmtId="4" fontId="4" fillId="0" borderId="56" xfId="0" applyNumberFormat="1" applyFont="1" applyBorder="1"/>
    <xf numFmtId="0" fontId="4" fillId="5" borderId="23" xfId="0" applyFont="1" applyFill="1" applyBorder="1"/>
    <xf numFmtId="0" fontId="4" fillId="3" borderId="23" xfId="0" applyFont="1" applyFill="1" applyBorder="1"/>
    <xf numFmtId="0" fontId="4" fillId="5" borderId="28" xfId="0" applyFont="1" applyFill="1" applyBorder="1"/>
    <xf numFmtId="0" fontId="4" fillId="3" borderId="28" xfId="0" applyFont="1" applyFill="1" applyBorder="1"/>
    <xf numFmtId="0" fontId="16" fillId="6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6" fillId="0" borderId="0" xfId="0" applyFont="1"/>
    <xf numFmtId="0" fontId="1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25" fillId="0" borderId="9" xfId="1" applyNumberFormat="1" applyFont="1" applyFill="1" applyBorder="1" applyAlignment="1">
      <alignment horizontal="center" vertical="center" wrapText="1"/>
    </xf>
    <xf numFmtId="0" fontId="0" fillId="6" borderId="14" xfId="0" applyFill="1" applyBorder="1"/>
    <xf numFmtId="0" fontId="0" fillId="3" borderId="14" xfId="0" applyFill="1" applyBorder="1"/>
    <xf numFmtId="0" fontId="0" fillId="0" borderId="11" xfId="0" applyBorder="1"/>
    <xf numFmtId="0" fontId="26" fillId="0" borderId="15" xfId="1" applyNumberFormat="1" applyFont="1" applyFill="1" applyBorder="1"/>
    <xf numFmtId="0" fontId="25" fillId="0" borderId="0" xfId="1" applyNumberFormat="1" applyFont="1" applyFill="1" applyBorder="1"/>
    <xf numFmtId="43" fontId="0" fillId="6" borderId="36" xfId="0" applyNumberFormat="1" applyFill="1" applyBorder="1"/>
    <xf numFmtId="43" fontId="0" fillId="0" borderId="36" xfId="0" applyNumberFormat="1" applyBorder="1"/>
    <xf numFmtId="43" fontId="26" fillId="0" borderId="36" xfId="1" applyFont="1" applyFill="1" applyBorder="1"/>
    <xf numFmtId="43" fontId="0" fillId="0" borderId="37" xfId="0" applyNumberFormat="1" applyBorder="1"/>
    <xf numFmtId="0" fontId="4" fillId="3" borderId="60" xfId="0" applyFont="1" applyFill="1" applyBorder="1"/>
    <xf numFmtId="43" fontId="0" fillId="3" borderId="36" xfId="0" applyNumberFormat="1" applyFill="1" applyBorder="1"/>
    <xf numFmtId="43" fontId="0" fillId="3" borderId="37" xfId="0" applyNumberFormat="1" applyFill="1" applyBorder="1"/>
    <xf numFmtId="43" fontId="0" fillId="0" borderId="19" xfId="0" applyNumberFormat="1" applyBorder="1"/>
    <xf numFmtId="43" fontId="23" fillId="0" borderId="20" xfId="0" applyNumberFormat="1" applyFont="1" applyBorder="1"/>
    <xf numFmtId="43" fontId="16" fillId="0" borderId="20" xfId="0" applyNumberFormat="1" applyFont="1" applyBorder="1"/>
    <xf numFmtId="43" fontId="0" fillId="6" borderId="21" xfId="0" applyNumberFormat="1" applyFill="1" applyBorder="1"/>
    <xf numFmtId="43" fontId="0" fillId="0" borderId="21" xfId="0" applyNumberFormat="1" applyBorder="1"/>
    <xf numFmtId="43" fontId="26" fillId="0" borderId="21" xfId="1" applyFont="1" applyFill="1" applyBorder="1"/>
    <xf numFmtId="43" fontId="0" fillId="0" borderId="40" xfId="0" applyNumberFormat="1" applyBorder="1"/>
    <xf numFmtId="0" fontId="4" fillId="3" borderId="61" xfId="0" applyFont="1" applyFill="1" applyBorder="1" applyAlignment="1">
      <alignment vertical="center"/>
    </xf>
    <xf numFmtId="43" fontId="0" fillId="3" borderId="40" xfId="0" applyNumberFormat="1" applyFill="1" applyBorder="1"/>
    <xf numFmtId="43" fontId="0" fillId="0" borderId="25" xfId="0" applyNumberFormat="1" applyBorder="1"/>
    <xf numFmtId="43" fontId="0" fillId="0" borderId="30" xfId="0" applyNumberFormat="1" applyBorder="1"/>
    <xf numFmtId="0" fontId="0" fillId="6" borderId="39" xfId="0" applyFill="1" applyBorder="1" applyAlignment="1">
      <alignment vertical="center"/>
    </xf>
    <xf numFmtId="0" fontId="0" fillId="3" borderId="39" xfId="0" applyFill="1" applyBorder="1" applyAlignment="1">
      <alignment vertical="center"/>
    </xf>
    <xf numFmtId="0" fontId="0" fillId="6" borderId="42" xfId="0" applyFill="1" applyBorder="1" applyAlignment="1">
      <alignment vertical="center"/>
    </xf>
    <xf numFmtId="43" fontId="0" fillId="6" borderId="43" xfId="0" applyNumberFormat="1" applyFill="1" applyBorder="1"/>
    <xf numFmtId="43" fontId="0" fillId="0" borderId="43" xfId="0" applyNumberFormat="1" applyBorder="1"/>
    <xf numFmtId="43" fontId="26" fillId="0" borderId="43" xfId="1" applyFont="1" applyFill="1" applyBorder="1"/>
    <xf numFmtId="43" fontId="0" fillId="0" borderId="44" xfId="0" applyNumberFormat="1" applyBorder="1"/>
    <xf numFmtId="0" fontId="0" fillId="3" borderId="42" xfId="0" applyFill="1" applyBorder="1" applyAlignment="1">
      <alignment vertical="center"/>
    </xf>
    <xf numFmtId="43" fontId="0" fillId="3" borderId="43" xfId="0" applyNumberFormat="1" applyFill="1" applyBorder="1"/>
    <xf numFmtId="43" fontId="0" fillId="3" borderId="44" xfId="0" applyNumberFormat="1" applyFill="1" applyBorder="1"/>
    <xf numFmtId="0" fontId="5" fillId="5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43" fontId="0" fillId="0" borderId="0" xfId="1" applyFont="1" applyBorder="1"/>
    <xf numFmtId="43" fontId="0" fillId="2" borderId="0" xfId="1" applyFont="1" applyFill="1" applyBorder="1"/>
    <xf numFmtId="9" fontId="5" fillId="5" borderId="21" xfId="0" applyNumberFormat="1" applyFont="1" applyFill="1" applyBorder="1" applyAlignment="1">
      <alignment horizontal="center" vertical="center" wrapText="1"/>
    </xf>
    <xf numFmtId="9" fontId="5" fillId="5" borderId="40" xfId="0" applyNumberFormat="1" applyFont="1" applyFill="1" applyBorder="1" applyAlignment="1">
      <alignment horizontal="center" vertical="center" wrapText="1"/>
    </xf>
    <xf numFmtId="9" fontId="5" fillId="3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3" fontId="8" fillId="0" borderId="0" xfId="1" applyFont="1" applyBorder="1" applyAlignment="1">
      <alignment vertical="center"/>
    </xf>
    <xf numFmtId="43" fontId="8" fillId="2" borderId="0" xfId="1" applyFont="1" applyFill="1" applyBorder="1" applyAlignment="1">
      <alignment vertical="center"/>
    </xf>
    <xf numFmtId="0" fontId="4" fillId="5" borderId="39" xfId="0" applyFont="1" applyFill="1" applyBorder="1"/>
    <xf numFmtId="4" fontId="4" fillId="5" borderId="21" xfId="0" applyNumberFormat="1" applyFont="1" applyFill="1" applyBorder="1"/>
    <xf numFmtId="4" fontId="4" fillId="0" borderId="40" xfId="0" applyNumberFormat="1" applyFont="1" applyBorder="1"/>
    <xf numFmtId="4" fontId="4" fillId="3" borderId="0" xfId="0" applyNumberFormat="1" applyFont="1" applyFill="1"/>
    <xf numFmtId="4" fontId="5" fillId="0" borderId="0" xfId="0" applyNumberFormat="1" applyFont="1"/>
    <xf numFmtId="10" fontId="0" fillId="0" borderId="0" xfId="2" applyNumberFormat="1" applyFont="1" applyBorder="1"/>
    <xf numFmtId="0" fontId="4" fillId="0" borderId="0" xfId="0" applyFont="1" applyAlignment="1">
      <alignment vertical="center"/>
    </xf>
    <xf numFmtId="0" fontId="4" fillId="5" borderId="39" xfId="0" applyFont="1" applyFill="1" applyBorder="1" applyAlignment="1">
      <alignment vertical="center"/>
    </xf>
    <xf numFmtId="4" fontId="4" fillId="5" borderId="43" xfId="0" applyNumberFormat="1" applyFont="1" applyFill="1" applyBorder="1"/>
    <xf numFmtId="0" fontId="4" fillId="5" borderId="42" xfId="0" applyFont="1" applyFill="1" applyBorder="1" applyAlignment="1">
      <alignment vertical="center"/>
    </xf>
    <xf numFmtId="4" fontId="4" fillId="0" borderId="44" xfId="0" applyNumberFormat="1" applyFont="1" applyBorder="1"/>
    <xf numFmtId="0" fontId="27" fillId="5" borderId="0" xfId="0" applyFont="1" applyFill="1"/>
    <xf numFmtId="0" fontId="28" fillId="0" borderId="0" xfId="0" applyFont="1"/>
    <xf numFmtId="0" fontId="27" fillId="3" borderId="0" xfId="0" applyFont="1" applyFill="1"/>
    <xf numFmtId="0" fontId="28" fillId="3" borderId="0" xfId="0" applyFont="1" applyFill="1"/>
    <xf numFmtId="0" fontId="5" fillId="6" borderId="6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vertical="center" wrapText="1"/>
    </xf>
    <xf numFmtId="0" fontId="4" fillId="6" borderId="35" xfId="0" applyFont="1" applyFill="1" applyBorder="1"/>
    <xf numFmtId="43" fontId="26" fillId="6" borderId="36" xfId="1" applyFont="1" applyFill="1" applyBorder="1"/>
    <xf numFmtId="43" fontId="0" fillId="6" borderId="37" xfId="0" applyNumberFormat="1" applyFill="1" applyBorder="1"/>
    <xf numFmtId="4" fontId="0" fillId="0" borderId="0" xfId="0" applyNumberFormat="1"/>
    <xf numFmtId="0" fontId="4" fillId="6" borderId="39" xfId="0" applyFont="1" applyFill="1" applyBorder="1" applyAlignment="1">
      <alignment vertical="center"/>
    </xf>
    <xf numFmtId="43" fontId="26" fillId="6" borderId="21" xfId="1" applyFont="1" applyFill="1" applyBorder="1"/>
    <xf numFmtId="43" fontId="0" fillId="6" borderId="40" xfId="0" applyNumberFormat="1" applyFill="1" applyBorder="1"/>
    <xf numFmtId="43" fontId="26" fillId="6" borderId="43" xfId="1" applyFont="1" applyFill="1" applyBorder="1"/>
    <xf numFmtId="43" fontId="0" fillId="6" borderId="44" xfId="0" applyNumberFormat="1" applyFill="1" applyBorder="1"/>
    <xf numFmtId="0" fontId="10" fillId="6" borderId="0" xfId="0" applyFont="1" applyFill="1"/>
    <xf numFmtId="0" fontId="4" fillId="6" borderId="0" xfId="0" applyFont="1" applyFill="1"/>
    <xf numFmtId="0" fontId="30" fillId="0" borderId="0" xfId="0" applyFont="1"/>
    <xf numFmtId="43" fontId="30" fillId="0" borderId="0" xfId="0" applyNumberFormat="1" applyFont="1"/>
    <xf numFmtId="0" fontId="31" fillId="0" borderId="0" xfId="0" applyFont="1"/>
    <xf numFmtId="0" fontId="0" fillId="0" borderId="0" xfId="0" applyAlignment="1">
      <alignment wrapText="1"/>
    </xf>
    <xf numFmtId="0" fontId="11" fillId="6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29" fillId="5" borderId="0" xfId="0" applyFont="1" applyFill="1" applyAlignment="1">
      <alignment horizontal="left" vertical="center" wrapText="1"/>
    </xf>
    <xf numFmtId="0" fontId="29" fillId="3" borderId="0" xfId="0" applyFont="1" applyFill="1" applyAlignment="1">
      <alignment horizontal="left" vertical="center" wrapText="1"/>
    </xf>
    <xf numFmtId="0" fontId="5" fillId="6" borderId="48" xfId="0" applyFont="1" applyFill="1" applyBorder="1" applyAlignment="1">
      <alignment horizontal="center" vertical="center" wrapText="1"/>
    </xf>
    <xf numFmtId="0" fontId="5" fillId="6" borderId="58" xfId="0" applyFont="1" applyFill="1" applyBorder="1" applyAlignment="1">
      <alignment horizontal="center" vertical="center" wrapText="1"/>
    </xf>
    <xf numFmtId="0" fontId="7" fillId="6" borderId="49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 wrapText="1"/>
    </xf>
    <xf numFmtId="0" fontId="5" fillId="3" borderId="58" xfId="0" applyFont="1" applyFill="1" applyBorder="1" applyAlignment="1">
      <alignment horizontal="center" vertical="center" wrapText="1"/>
    </xf>
    <xf numFmtId="0" fontId="23" fillId="3" borderId="57" xfId="0" applyFont="1" applyFill="1" applyBorder="1" applyAlignment="1">
      <alignment horizontal="center" vertical="center" wrapText="1"/>
    </xf>
    <xf numFmtId="0" fontId="23" fillId="3" borderId="59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1" fillId="5" borderId="0" xfId="0" applyFont="1" applyFill="1" applyAlignment="1">
      <alignment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5" borderId="62" xfId="0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5" borderId="48" xfId="0" applyFont="1" applyFill="1" applyBorder="1" applyAlignment="1">
      <alignment horizontal="center" vertical="center" wrapText="1"/>
    </xf>
    <xf numFmtId="0" fontId="5" fillId="5" borderId="58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5" borderId="45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6" borderId="3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3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3A1C-2F3D-4E5D-A55D-14BFF776C39E}">
  <dimension ref="A1:F99"/>
  <sheetViews>
    <sheetView tabSelected="1" topLeftCell="A61" workbookViewId="0">
      <selection activeCell="C84" sqref="C84:C85"/>
    </sheetView>
  </sheetViews>
  <sheetFormatPr defaultRowHeight="15"/>
  <cols>
    <col min="1" max="1" width="17.42578125" customWidth="1"/>
    <col min="2" max="2" width="26.140625" bestFit="1" customWidth="1"/>
    <col min="3" max="3" width="26.140625" customWidth="1"/>
    <col min="4" max="4" width="30.7109375" style="58" bestFit="1" customWidth="1"/>
    <col min="5" max="5" width="20.42578125" style="58" bestFit="1" customWidth="1"/>
    <col min="6" max="6" width="23.140625" style="58" bestFit="1" customWidth="1"/>
  </cols>
  <sheetData>
    <row r="1" spans="1:6">
      <c r="A1" s="323" t="s">
        <v>0</v>
      </c>
      <c r="B1" s="323" t="s">
        <v>1</v>
      </c>
      <c r="C1" s="323" t="s">
        <v>2</v>
      </c>
      <c r="D1" s="324" t="s">
        <v>3</v>
      </c>
      <c r="E1" s="325" t="s">
        <v>4</v>
      </c>
      <c r="F1" s="324" t="s">
        <v>5</v>
      </c>
    </row>
    <row r="2" spans="1:6">
      <c r="A2" t="s">
        <v>6</v>
      </c>
      <c r="B2" t="s">
        <v>7</v>
      </c>
      <c r="C2" t="s">
        <v>8</v>
      </c>
      <c r="D2" s="58">
        <v>123300.47</v>
      </c>
      <c r="E2" s="58">
        <v>18495.07</v>
      </c>
      <c r="F2" s="58">
        <v>104805.4</v>
      </c>
    </row>
    <row r="3" spans="1:6">
      <c r="B3" t="s">
        <v>9</v>
      </c>
      <c r="C3" s="56" t="s">
        <v>10</v>
      </c>
      <c r="D3" s="58">
        <v>125275.85</v>
      </c>
      <c r="E3" s="58">
        <v>18791.38</v>
      </c>
      <c r="F3" s="58">
        <v>106484.47</v>
      </c>
    </row>
    <row r="4" spans="1:6">
      <c r="B4" t="s">
        <v>11</v>
      </c>
      <c r="C4" s="56" t="s">
        <v>12</v>
      </c>
      <c r="D4" s="58">
        <v>136319.56</v>
      </c>
      <c r="E4" s="58">
        <v>20447.93</v>
      </c>
      <c r="F4" s="58">
        <v>115871.62</v>
      </c>
    </row>
    <row r="5" spans="1:6">
      <c r="B5" t="s">
        <v>13</v>
      </c>
      <c r="C5" s="56" t="s">
        <v>14</v>
      </c>
      <c r="D5" s="58">
        <v>136686.12</v>
      </c>
      <c r="E5" s="58">
        <v>20502.919999999998</v>
      </c>
      <c r="F5" s="58">
        <v>116183.2</v>
      </c>
    </row>
    <row r="6" spans="1:6">
      <c r="B6" t="s">
        <v>15</v>
      </c>
      <c r="C6" s="56" t="s">
        <v>16</v>
      </c>
      <c r="D6" s="58">
        <v>145469.19</v>
      </c>
      <c r="E6" s="58">
        <v>21820.38</v>
      </c>
      <c r="F6" s="58">
        <v>123648.82</v>
      </c>
    </row>
    <row r="7" spans="1:6">
      <c r="B7" t="s">
        <v>17</v>
      </c>
      <c r="C7" s="56" t="s">
        <v>18</v>
      </c>
      <c r="D7" s="58">
        <v>148653.66</v>
      </c>
      <c r="E7" s="58">
        <v>22298.05</v>
      </c>
      <c r="F7" s="58">
        <v>126355.61</v>
      </c>
    </row>
    <row r="8" spans="1:6">
      <c r="B8" t="s">
        <v>19</v>
      </c>
      <c r="C8" s="56" t="s">
        <v>20</v>
      </c>
      <c r="D8" s="58">
        <v>150883.46</v>
      </c>
      <c r="E8" s="58">
        <v>22632.52</v>
      </c>
      <c r="F8" s="58">
        <v>128250.94</v>
      </c>
    </row>
    <row r="9" spans="1:6">
      <c r="B9" t="s">
        <v>21</v>
      </c>
      <c r="C9" s="56" t="s">
        <v>22</v>
      </c>
      <c r="D9" s="58">
        <v>152392.29999999999</v>
      </c>
      <c r="E9" s="58">
        <v>22858.84</v>
      </c>
      <c r="F9" s="58">
        <v>129533.45</v>
      </c>
    </row>
    <row r="10" spans="1:6">
      <c r="B10" t="s">
        <v>23</v>
      </c>
      <c r="C10" s="56" t="s">
        <v>24</v>
      </c>
      <c r="D10" s="58">
        <v>155576.75</v>
      </c>
      <c r="E10" s="58">
        <v>23336.51</v>
      </c>
      <c r="F10" s="58">
        <v>132240.23000000001</v>
      </c>
    </row>
    <row r="11" spans="1:6">
      <c r="C11" s="56"/>
    </row>
    <row r="12" spans="1:6">
      <c r="A12" t="s">
        <v>25</v>
      </c>
      <c r="B12" t="s">
        <v>7</v>
      </c>
      <c r="C12" s="56"/>
      <c r="D12" s="58">
        <v>136860.61199999999</v>
      </c>
      <c r="E12" s="58">
        <v>20529.091799999998</v>
      </c>
      <c r="F12" s="58">
        <v>116331.5202</v>
      </c>
    </row>
    <row r="13" spans="1:6">
      <c r="B13" t="s">
        <v>9</v>
      </c>
      <c r="C13" s="56" t="s">
        <v>10</v>
      </c>
      <c r="D13" s="58">
        <v>144268.698</v>
      </c>
      <c r="E13" s="58">
        <v>21640.304700000001</v>
      </c>
      <c r="F13" s="58">
        <v>122628.3933</v>
      </c>
    </row>
    <row r="14" spans="1:6">
      <c r="B14" t="s">
        <v>11</v>
      </c>
      <c r="C14" s="56" t="s">
        <v>12</v>
      </c>
      <c r="D14" s="58">
        <v>155861.43299999999</v>
      </c>
      <c r="E14" s="58">
        <v>23379.214949999998</v>
      </c>
      <c r="F14" s="58">
        <v>132482.21805</v>
      </c>
    </row>
    <row r="15" spans="1:6">
      <c r="B15" t="s">
        <v>13</v>
      </c>
      <c r="C15" s="56" t="s">
        <v>14</v>
      </c>
      <c r="D15" s="58">
        <v>156683.6355</v>
      </c>
      <c r="E15" s="58">
        <v>23502.545324999999</v>
      </c>
      <c r="F15" s="58">
        <v>133181.09017500002</v>
      </c>
    </row>
    <row r="16" spans="1:6">
      <c r="B16" t="s">
        <v>15</v>
      </c>
      <c r="C16" s="56" t="s">
        <v>16</v>
      </c>
      <c r="D16" s="58">
        <v>166431.65700000001</v>
      </c>
      <c r="E16" s="58">
        <v>24964.74855</v>
      </c>
      <c r="F16" s="58">
        <v>141466.90845000002</v>
      </c>
    </row>
    <row r="17" spans="1:6">
      <c r="B17" t="s">
        <v>17</v>
      </c>
      <c r="C17" s="56" t="s">
        <v>18</v>
      </c>
      <c r="D17" s="58">
        <v>169554.87149999998</v>
      </c>
      <c r="E17" s="58">
        <v>25433.230724999998</v>
      </c>
      <c r="F17" s="58">
        <v>144121.64077499998</v>
      </c>
    </row>
    <row r="18" spans="1:6">
      <c r="B18" t="s">
        <v>19</v>
      </c>
      <c r="C18" s="56" t="s">
        <v>20</v>
      </c>
      <c r="D18" s="58">
        <v>172098.19200000001</v>
      </c>
      <c r="E18" s="58">
        <v>25814.728800000001</v>
      </c>
      <c r="F18" s="58">
        <v>146283.4632</v>
      </c>
    </row>
    <row r="19" spans="1:6">
      <c r="B19" t="s">
        <v>21</v>
      </c>
      <c r="C19" s="56" t="s">
        <v>22</v>
      </c>
      <c r="D19" s="58">
        <v>173819.1735</v>
      </c>
      <c r="E19" s="58">
        <v>26072.876025000001</v>
      </c>
      <c r="F19" s="58">
        <v>147746.297475</v>
      </c>
    </row>
    <row r="20" spans="1:6">
      <c r="B20" t="s">
        <v>23</v>
      </c>
      <c r="C20" s="56" t="s">
        <v>24</v>
      </c>
      <c r="D20" s="58">
        <v>177003.62400000001</v>
      </c>
      <c r="E20" s="58">
        <v>26550.543600000001</v>
      </c>
      <c r="F20" s="58">
        <v>150453.08040000001</v>
      </c>
    </row>
    <row r="21" spans="1:6">
      <c r="C21" s="56"/>
    </row>
    <row r="22" spans="1:6">
      <c r="A22" t="s">
        <v>26</v>
      </c>
      <c r="B22" t="s">
        <v>7</v>
      </c>
      <c r="C22" s="56"/>
      <c r="D22" s="58">
        <v>134294.45000000001</v>
      </c>
      <c r="E22" s="58">
        <v>20144.169999999998</v>
      </c>
      <c r="F22" s="58">
        <v>114150.29</v>
      </c>
    </row>
    <row r="23" spans="1:6">
      <c r="B23" t="s">
        <v>9</v>
      </c>
      <c r="C23" s="56" t="s">
        <v>10</v>
      </c>
      <c r="D23" s="58">
        <v>141434.63</v>
      </c>
      <c r="E23" s="58">
        <v>21215.19</v>
      </c>
      <c r="F23" s="58">
        <v>120219.44</v>
      </c>
    </row>
    <row r="24" spans="1:6">
      <c r="B24" t="s">
        <v>11</v>
      </c>
      <c r="C24" s="56" t="s">
        <v>12</v>
      </c>
      <c r="D24" s="58">
        <v>152782.23000000001</v>
      </c>
      <c r="E24" s="58">
        <v>22917.34</v>
      </c>
      <c r="F24" s="58">
        <v>129864.9</v>
      </c>
    </row>
    <row r="25" spans="1:6">
      <c r="B25" t="s">
        <v>13</v>
      </c>
      <c r="C25" s="56" t="s">
        <v>14</v>
      </c>
      <c r="D25" s="58">
        <v>153400.59</v>
      </c>
      <c r="E25" s="58">
        <v>23010.09</v>
      </c>
      <c r="F25" s="58">
        <v>130390.5</v>
      </c>
    </row>
    <row r="26" spans="1:6">
      <c r="B26" t="s">
        <v>15</v>
      </c>
      <c r="C26" s="56" t="s">
        <v>16</v>
      </c>
      <c r="D26" s="58">
        <v>162796.07999999999</v>
      </c>
      <c r="E26" s="58">
        <v>24419.41</v>
      </c>
      <c r="F26" s="58">
        <v>138376.67000000001</v>
      </c>
    </row>
    <row r="27" spans="1:6">
      <c r="B27" t="s">
        <v>17</v>
      </c>
      <c r="C27" s="56" t="s">
        <v>18</v>
      </c>
      <c r="D27" s="58">
        <v>165980.54</v>
      </c>
      <c r="E27" s="58">
        <v>24897.08</v>
      </c>
      <c r="F27" s="58">
        <v>141083.45000000001</v>
      </c>
    </row>
    <row r="28" spans="1:6">
      <c r="B28" t="s">
        <v>19</v>
      </c>
      <c r="C28" s="56" t="s">
        <v>20</v>
      </c>
      <c r="D28" s="58">
        <v>168470.24</v>
      </c>
      <c r="E28" s="58">
        <v>25270.54</v>
      </c>
      <c r="F28" s="58">
        <v>143199.71</v>
      </c>
    </row>
    <row r="29" spans="1:6">
      <c r="B29" t="s">
        <v>21</v>
      </c>
      <c r="C29" s="56" t="s">
        <v>22</v>
      </c>
      <c r="D29" s="58">
        <v>170154.95</v>
      </c>
      <c r="E29" s="58">
        <v>25523.24</v>
      </c>
      <c r="F29" s="58">
        <v>144631.70000000001</v>
      </c>
    </row>
    <row r="30" spans="1:6">
      <c r="B30" t="s">
        <v>23</v>
      </c>
      <c r="C30" s="56" t="s">
        <v>24</v>
      </c>
      <c r="D30" s="58">
        <v>173339.4</v>
      </c>
      <c r="E30" s="58">
        <v>26000.91</v>
      </c>
      <c r="F30" s="58">
        <v>147338.49</v>
      </c>
    </row>
    <row r="31" spans="1:6">
      <c r="C31" s="56"/>
    </row>
    <row r="32" spans="1:6">
      <c r="A32" t="s">
        <v>27</v>
      </c>
      <c r="B32" t="s">
        <v>7</v>
      </c>
      <c r="C32" s="56"/>
      <c r="D32" s="58">
        <v>158927.29</v>
      </c>
      <c r="E32" s="58">
        <v>23839.09</v>
      </c>
      <c r="F32" s="58">
        <v>135088.19</v>
      </c>
    </row>
    <row r="33" spans="1:6">
      <c r="B33" t="s">
        <v>9</v>
      </c>
      <c r="C33" s="56" t="s">
        <v>10</v>
      </c>
      <c r="D33" s="58">
        <v>180818.87</v>
      </c>
      <c r="E33" s="58">
        <v>27122.83</v>
      </c>
      <c r="F33" s="58">
        <v>153696.04</v>
      </c>
    </row>
    <row r="34" spans="1:6">
      <c r="B34" t="s">
        <v>11</v>
      </c>
      <c r="C34" s="56" t="s">
        <v>12</v>
      </c>
      <c r="D34" s="58">
        <v>205893.65</v>
      </c>
      <c r="E34" s="58">
        <v>30884.05</v>
      </c>
      <c r="F34" s="58">
        <v>175009.6</v>
      </c>
    </row>
    <row r="35" spans="1:6">
      <c r="B35" t="s">
        <v>13</v>
      </c>
      <c r="C35" s="56" t="s">
        <v>14</v>
      </c>
      <c r="D35" s="58">
        <v>213656.27</v>
      </c>
      <c r="E35" s="58">
        <v>32048.44</v>
      </c>
      <c r="F35" s="58">
        <v>181607.83</v>
      </c>
    </row>
    <row r="36" spans="1:6">
      <c r="B36" t="s">
        <v>15</v>
      </c>
      <c r="C36" s="56" t="s">
        <v>16</v>
      </c>
      <c r="D36" s="58">
        <v>218631.63</v>
      </c>
      <c r="E36" s="58">
        <v>32794.74</v>
      </c>
      <c r="F36" s="58">
        <v>185836.89</v>
      </c>
    </row>
    <row r="37" spans="1:6">
      <c r="B37" t="s">
        <v>17</v>
      </c>
      <c r="C37" s="56" t="s">
        <v>18</v>
      </c>
      <c r="D37" s="58">
        <v>221816.08</v>
      </c>
      <c r="E37" s="58">
        <v>33272.410000000003</v>
      </c>
      <c r="F37" s="58">
        <v>188543.67</v>
      </c>
    </row>
    <row r="38" spans="1:6">
      <c r="B38" t="s">
        <v>19</v>
      </c>
      <c r="C38" s="56" t="s">
        <v>20</v>
      </c>
      <c r="D38" s="58">
        <v>229563.21</v>
      </c>
      <c r="E38" s="58">
        <v>34434.480000000003</v>
      </c>
      <c r="F38" s="58">
        <v>195128.73</v>
      </c>
    </row>
    <row r="39" spans="1:6">
      <c r="B39" t="s">
        <v>21</v>
      </c>
      <c r="C39" s="56" t="s">
        <v>22</v>
      </c>
      <c r="D39" s="58">
        <v>234154.47</v>
      </c>
      <c r="E39" s="58">
        <v>35123.17</v>
      </c>
      <c r="F39" s="58">
        <v>199031.3</v>
      </c>
    </row>
    <row r="40" spans="1:6">
      <c r="C40" s="56"/>
    </row>
    <row r="41" spans="1:6">
      <c r="A41" t="s">
        <v>28</v>
      </c>
      <c r="B41" t="s">
        <v>7</v>
      </c>
      <c r="C41" s="56"/>
      <c r="D41" s="58">
        <v>198563.21</v>
      </c>
      <c r="E41" s="58">
        <v>29784.48</v>
      </c>
      <c r="F41" s="58">
        <v>168778.73</v>
      </c>
    </row>
    <row r="42" spans="1:6">
      <c r="B42" t="s">
        <v>9</v>
      </c>
      <c r="C42" s="56" t="s">
        <v>10</v>
      </c>
      <c r="D42" s="58">
        <v>225640</v>
      </c>
      <c r="E42" s="58">
        <v>33846</v>
      </c>
      <c r="F42" s="58">
        <v>191794</v>
      </c>
    </row>
    <row r="43" spans="1:6">
      <c r="B43" t="s">
        <v>11</v>
      </c>
      <c r="C43" s="56" t="s">
        <v>12</v>
      </c>
      <c r="D43" s="58">
        <v>246874.38</v>
      </c>
      <c r="E43" s="58">
        <v>37031.160000000003</v>
      </c>
      <c r="F43" s="58">
        <v>209843.23</v>
      </c>
    </row>
    <row r="44" spans="1:6">
      <c r="B44" t="s">
        <v>13</v>
      </c>
      <c r="C44" s="56" t="s">
        <v>14</v>
      </c>
      <c r="D44" s="58">
        <v>261742.4</v>
      </c>
      <c r="E44" s="58">
        <v>39261.360000000001</v>
      </c>
      <c r="F44" s="58">
        <v>222481.04</v>
      </c>
    </row>
    <row r="45" spans="1:6">
      <c r="B45" t="s">
        <v>15</v>
      </c>
      <c r="C45" s="56" t="s">
        <v>16</v>
      </c>
      <c r="D45" s="58">
        <v>279793.61</v>
      </c>
      <c r="E45" s="58">
        <v>41969.04</v>
      </c>
      <c r="F45" s="58">
        <v>237824.56</v>
      </c>
    </row>
    <row r="46" spans="1:6">
      <c r="B46" t="s">
        <v>17</v>
      </c>
      <c r="C46" s="56" t="s">
        <v>18</v>
      </c>
      <c r="D46" s="58">
        <v>282978.07</v>
      </c>
      <c r="E46" s="58">
        <v>42446.71</v>
      </c>
      <c r="F46" s="58">
        <v>240531.36</v>
      </c>
    </row>
    <row r="47" spans="1:6">
      <c r="C47" s="56"/>
    </row>
    <row r="48" spans="1:6">
      <c r="A48" t="s">
        <v>29</v>
      </c>
      <c r="B48" t="s">
        <v>7</v>
      </c>
      <c r="C48" s="56"/>
      <c r="D48" s="58">
        <v>189274.72</v>
      </c>
      <c r="E48" s="58">
        <v>28391.21</v>
      </c>
      <c r="F48" s="58">
        <v>160883.51</v>
      </c>
    </row>
    <row r="49" spans="1:6">
      <c r="B49" t="s">
        <v>9</v>
      </c>
      <c r="C49" s="56" t="s">
        <v>10</v>
      </c>
      <c r="D49" s="58">
        <v>215084.91</v>
      </c>
      <c r="E49" s="58">
        <v>32262.74</v>
      </c>
      <c r="F49" s="58">
        <v>182822.17</v>
      </c>
    </row>
    <row r="50" spans="1:6">
      <c r="B50" t="s">
        <v>11</v>
      </c>
      <c r="C50" s="56" t="s">
        <v>12</v>
      </c>
      <c r="D50" s="58">
        <v>226871.49</v>
      </c>
      <c r="E50" s="58">
        <v>34030.720000000001</v>
      </c>
      <c r="F50" s="58">
        <v>192840.77</v>
      </c>
    </row>
    <row r="51" spans="1:6">
      <c r="B51" t="s">
        <v>13</v>
      </c>
      <c r="C51" s="56" t="s">
        <v>14</v>
      </c>
      <c r="D51" s="58">
        <v>232291.71</v>
      </c>
      <c r="E51" s="58">
        <v>34843.760000000002</v>
      </c>
      <c r="F51" s="58">
        <v>197447.95</v>
      </c>
    </row>
    <row r="52" spans="1:6">
      <c r="B52" t="s">
        <v>15</v>
      </c>
      <c r="C52" s="56" t="s">
        <v>16</v>
      </c>
      <c r="D52" s="58">
        <v>240895.11</v>
      </c>
      <c r="E52" s="58">
        <v>36134.269999999997</v>
      </c>
      <c r="F52" s="58">
        <v>204760.84</v>
      </c>
    </row>
    <row r="53" spans="1:6">
      <c r="B53" t="s">
        <v>17</v>
      </c>
      <c r="C53" s="56" t="s">
        <v>18</v>
      </c>
      <c r="D53" s="58">
        <v>244079.56</v>
      </c>
      <c r="E53" s="58">
        <v>36611.93</v>
      </c>
      <c r="F53" s="58">
        <v>207467.62</v>
      </c>
    </row>
    <row r="54" spans="1:6">
      <c r="C54" s="56"/>
    </row>
    <row r="55" spans="1:6">
      <c r="A55" t="s">
        <v>30</v>
      </c>
      <c r="B55" t="s">
        <v>7</v>
      </c>
      <c r="C55" s="56"/>
      <c r="D55" s="58">
        <v>149931.4</v>
      </c>
      <c r="E55" s="58">
        <v>22489.71</v>
      </c>
      <c r="F55" s="58">
        <v>127441.69</v>
      </c>
    </row>
    <row r="56" spans="1:6">
      <c r="B56" t="s">
        <v>9</v>
      </c>
      <c r="C56" s="56" t="s">
        <v>10</v>
      </c>
      <c r="D56" s="58">
        <v>180818.87</v>
      </c>
      <c r="E56" s="58">
        <v>27122.83</v>
      </c>
      <c r="F56" s="58">
        <v>153696.04</v>
      </c>
    </row>
    <row r="57" spans="1:6">
      <c r="B57" t="s">
        <v>11</v>
      </c>
      <c r="C57" s="56" t="s">
        <v>12</v>
      </c>
      <c r="D57" s="58">
        <v>205893.65</v>
      </c>
      <c r="E57" s="58">
        <v>30884.05</v>
      </c>
      <c r="F57" s="58">
        <v>175009.6</v>
      </c>
    </row>
    <row r="58" spans="1:6">
      <c r="B58" t="s">
        <v>13</v>
      </c>
      <c r="C58" s="56" t="s">
        <v>14</v>
      </c>
      <c r="D58" s="58">
        <v>213656.27</v>
      </c>
      <c r="E58" s="58">
        <v>32048.44</v>
      </c>
      <c r="F58" s="58">
        <v>181607.83</v>
      </c>
    </row>
    <row r="59" spans="1:6">
      <c r="B59" t="s">
        <v>15</v>
      </c>
      <c r="C59" s="56" t="s">
        <v>16</v>
      </c>
      <c r="D59" s="58">
        <v>218631.63</v>
      </c>
      <c r="E59" s="58">
        <v>32794.74</v>
      </c>
      <c r="F59" s="58">
        <v>185836.89</v>
      </c>
    </row>
    <row r="60" spans="1:6">
      <c r="B60" t="s">
        <v>17</v>
      </c>
      <c r="C60" s="56" t="s">
        <v>18</v>
      </c>
      <c r="D60" s="58">
        <v>221814.81</v>
      </c>
      <c r="E60" s="58">
        <v>33272.22</v>
      </c>
      <c r="F60" s="58">
        <v>188542.59</v>
      </c>
    </row>
    <row r="61" spans="1:6">
      <c r="B61" t="s">
        <v>19</v>
      </c>
      <c r="C61" s="56" t="s">
        <v>20</v>
      </c>
      <c r="D61" s="58">
        <v>229563.21</v>
      </c>
      <c r="E61" s="58">
        <v>34434.480000000003</v>
      </c>
      <c r="F61" s="58">
        <v>195128.73</v>
      </c>
    </row>
    <row r="62" spans="1:6">
      <c r="B62" t="s">
        <v>21</v>
      </c>
      <c r="C62" s="56" t="s">
        <v>22</v>
      </c>
      <c r="D62" s="58">
        <v>234154.47</v>
      </c>
      <c r="E62" s="58">
        <v>35123.17</v>
      </c>
      <c r="F62" s="58">
        <v>199031.3</v>
      </c>
    </row>
    <row r="63" spans="1:6">
      <c r="B63" t="s">
        <v>23</v>
      </c>
      <c r="C63" s="56" t="s">
        <v>24</v>
      </c>
      <c r="D63" s="58">
        <v>237338.92</v>
      </c>
      <c r="E63" s="58">
        <v>35600.839999999997</v>
      </c>
      <c r="F63" s="58">
        <v>201738.08</v>
      </c>
    </row>
    <row r="64" spans="1:6">
      <c r="C64" s="56"/>
    </row>
    <row r="65" spans="1:6">
      <c r="A65" t="s">
        <v>31</v>
      </c>
      <c r="B65" t="s">
        <v>7</v>
      </c>
      <c r="C65" s="56"/>
      <c r="D65" s="58">
        <v>155975.76999999999</v>
      </c>
      <c r="E65" s="58">
        <v>23396.37</v>
      </c>
      <c r="F65" s="58">
        <v>132579.4</v>
      </c>
    </row>
    <row r="66" spans="1:6">
      <c r="B66" t="s">
        <v>9</v>
      </c>
      <c r="C66" s="56" t="s">
        <v>10</v>
      </c>
      <c r="D66" s="58">
        <v>177245.19</v>
      </c>
      <c r="E66" s="58">
        <v>26586.78</v>
      </c>
      <c r="F66" s="58">
        <v>150658.41</v>
      </c>
    </row>
    <row r="67" spans="1:6">
      <c r="B67" t="s">
        <v>11</v>
      </c>
      <c r="C67" s="56" t="s">
        <v>12</v>
      </c>
      <c r="D67" s="58">
        <v>187518.18</v>
      </c>
      <c r="E67" s="58">
        <v>28127.73</v>
      </c>
      <c r="F67" s="58">
        <v>159390.45000000001</v>
      </c>
    </row>
    <row r="68" spans="1:6">
      <c r="B68" t="s">
        <v>13</v>
      </c>
      <c r="C68" s="56" t="s">
        <v>14</v>
      </c>
      <c r="D68" s="58">
        <v>191424.81</v>
      </c>
      <c r="E68" s="58">
        <v>28713.72</v>
      </c>
      <c r="F68" s="58">
        <v>162711.09</v>
      </c>
    </row>
    <row r="69" spans="1:6">
      <c r="B69" t="s">
        <v>15</v>
      </c>
      <c r="C69" s="56" t="s">
        <v>16</v>
      </c>
      <c r="D69" s="58">
        <v>198514.62</v>
      </c>
      <c r="E69" s="58">
        <v>29777.19</v>
      </c>
      <c r="F69" s="58">
        <v>168737.42</v>
      </c>
    </row>
    <row r="70" spans="1:6">
      <c r="B70" t="s">
        <v>17</v>
      </c>
      <c r="C70" s="56" t="s">
        <v>18</v>
      </c>
      <c r="D70" s="58">
        <v>201699.07</v>
      </c>
      <c r="E70" s="58">
        <v>30254.86</v>
      </c>
      <c r="F70" s="58">
        <v>171444.21</v>
      </c>
    </row>
    <row r="71" spans="1:6">
      <c r="A71" t="s">
        <v>32</v>
      </c>
      <c r="B71" t="s">
        <v>7</v>
      </c>
      <c r="C71" s="56"/>
      <c r="D71" s="58">
        <v>178809.07</v>
      </c>
      <c r="E71" s="58">
        <v>26821.360000000001</v>
      </c>
      <c r="F71" s="58">
        <v>151987.71</v>
      </c>
    </row>
    <row r="72" spans="1:6">
      <c r="B72" t="s">
        <v>9</v>
      </c>
      <c r="C72" s="56" t="s">
        <v>10</v>
      </c>
      <c r="D72" s="58">
        <v>203192.12</v>
      </c>
      <c r="E72" s="58">
        <v>30478.82</v>
      </c>
      <c r="F72" s="58">
        <v>172713.3</v>
      </c>
    </row>
    <row r="73" spans="1:6">
      <c r="B73" t="s">
        <v>11</v>
      </c>
      <c r="C73" s="56" t="s">
        <v>12</v>
      </c>
      <c r="D73" s="58">
        <v>218760.34</v>
      </c>
      <c r="E73" s="58">
        <v>32814.050000000003</v>
      </c>
      <c r="F73" s="58">
        <v>185946.29</v>
      </c>
    </row>
    <row r="74" spans="1:6">
      <c r="B74" t="s">
        <v>13</v>
      </c>
      <c r="C74" s="56" t="s">
        <v>14</v>
      </c>
      <c r="D74" s="58">
        <v>227962.2</v>
      </c>
      <c r="E74" s="58">
        <v>34194.33</v>
      </c>
      <c r="F74" s="58">
        <v>193767.87</v>
      </c>
    </row>
    <row r="75" spans="1:6">
      <c r="B75" t="s">
        <v>15</v>
      </c>
      <c r="C75" s="56" t="s">
        <v>16</v>
      </c>
      <c r="D75" s="58">
        <v>233270.7</v>
      </c>
      <c r="E75" s="58">
        <v>34990.6</v>
      </c>
      <c r="F75" s="58">
        <v>198280.09</v>
      </c>
    </row>
    <row r="76" spans="1:6">
      <c r="B76" t="s">
        <v>17</v>
      </c>
      <c r="C76" s="56" t="s">
        <v>18</v>
      </c>
      <c r="D76" s="58">
        <v>236455.16</v>
      </c>
      <c r="E76" s="58">
        <v>35468.269999999997</v>
      </c>
      <c r="F76" s="58">
        <v>200986.89</v>
      </c>
    </row>
    <row r="77" spans="1:6">
      <c r="C77" s="56"/>
    </row>
    <row r="78" spans="1:6">
      <c r="A78" t="s">
        <v>33</v>
      </c>
      <c r="B78" t="s">
        <v>7</v>
      </c>
      <c r="C78" s="56"/>
      <c r="D78" s="58">
        <v>123300.47</v>
      </c>
      <c r="E78" s="58">
        <v>18495.07</v>
      </c>
      <c r="F78" s="58">
        <v>104805.4</v>
      </c>
    </row>
    <row r="79" spans="1:6">
      <c r="B79" t="s">
        <v>9</v>
      </c>
      <c r="C79" s="56" t="s">
        <v>10</v>
      </c>
      <c r="D79" s="58">
        <v>125275.85</v>
      </c>
      <c r="E79" s="58">
        <v>18791.38</v>
      </c>
      <c r="F79" s="58">
        <v>106484.47</v>
      </c>
    </row>
    <row r="80" spans="1:6">
      <c r="B80" t="s">
        <v>11</v>
      </c>
      <c r="C80" s="56" t="s">
        <v>12</v>
      </c>
      <c r="D80" s="58">
        <v>136319.56</v>
      </c>
      <c r="E80" s="58">
        <v>20447.93</v>
      </c>
      <c r="F80" s="58">
        <v>115871.62</v>
      </c>
    </row>
    <row r="81" spans="1:6">
      <c r="B81" t="s">
        <v>13</v>
      </c>
      <c r="C81" s="56" t="s">
        <v>14</v>
      </c>
      <c r="D81" s="58">
        <v>136686.12</v>
      </c>
      <c r="E81" s="58">
        <v>20502.919999999998</v>
      </c>
      <c r="F81" s="58">
        <v>116183.2</v>
      </c>
    </row>
    <row r="82" spans="1:6">
      <c r="B82" t="s">
        <v>15</v>
      </c>
      <c r="C82" s="56" t="s">
        <v>16</v>
      </c>
      <c r="D82" s="58">
        <v>145469.19</v>
      </c>
      <c r="E82" s="58">
        <v>21820.38</v>
      </c>
      <c r="F82" s="58">
        <v>123648.82</v>
      </c>
    </row>
    <row r="83" spans="1:6">
      <c r="B83" t="s">
        <v>17</v>
      </c>
      <c r="C83" s="56" t="s">
        <v>18</v>
      </c>
      <c r="D83" s="58">
        <v>148653.66</v>
      </c>
      <c r="E83" s="58">
        <v>22298.05</v>
      </c>
      <c r="F83" s="58">
        <v>126355.61</v>
      </c>
    </row>
    <row r="84" spans="1:6">
      <c r="B84" t="s">
        <v>19</v>
      </c>
      <c r="C84" s="56" t="s">
        <v>20</v>
      </c>
      <c r="D84" s="58">
        <v>150883.46</v>
      </c>
      <c r="E84" s="58">
        <v>22632.52</v>
      </c>
      <c r="F84" s="58">
        <v>128250.94</v>
      </c>
    </row>
    <row r="85" spans="1:6">
      <c r="B85" t="s">
        <v>21</v>
      </c>
      <c r="C85" s="56" t="s">
        <v>22</v>
      </c>
      <c r="D85" s="58">
        <v>152392.29999999999</v>
      </c>
      <c r="E85" s="58">
        <v>22858.84</v>
      </c>
      <c r="F85" s="58">
        <v>129533.45</v>
      </c>
    </row>
    <row r="86" spans="1:6">
      <c r="C86" s="56"/>
    </row>
    <row r="87" spans="1:6">
      <c r="A87" t="s">
        <v>34</v>
      </c>
      <c r="B87" t="s">
        <v>7</v>
      </c>
      <c r="C87" s="56"/>
      <c r="D87" s="58">
        <v>99814.671245147998</v>
      </c>
      <c r="E87" s="58">
        <v>14972.200686772199</v>
      </c>
      <c r="F87" s="58">
        <v>84842.470558375804</v>
      </c>
    </row>
    <row r="88" spans="1:6">
      <c r="B88" t="s">
        <v>9</v>
      </c>
      <c r="C88" s="56" t="s">
        <v>10</v>
      </c>
      <c r="D88" s="58">
        <v>101413.78235218117</v>
      </c>
      <c r="E88" s="58">
        <v>15212.067352827175</v>
      </c>
      <c r="F88" s="58">
        <v>86201.714999353993</v>
      </c>
    </row>
    <row r="89" spans="1:6">
      <c r="B89" t="s">
        <v>11</v>
      </c>
      <c r="C89" s="56" t="s">
        <v>12</v>
      </c>
      <c r="D89" s="58">
        <v>110353.93026599652</v>
      </c>
      <c r="E89" s="58">
        <v>16553.089539899476</v>
      </c>
      <c r="F89" s="58">
        <v>93800.840726097042</v>
      </c>
    </row>
    <row r="90" spans="1:6">
      <c r="B90" t="s">
        <v>13</v>
      </c>
      <c r="C90" s="56" t="s">
        <v>14</v>
      </c>
      <c r="D90" s="58">
        <v>110650.67077160453</v>
      </c>
      <c r="E90" s="58">
        <v>16597.600615740681</v>
      </c>
      <c r="F90" s="58">
        <v>94053.070155863854</v>
      </c>
    </row>
    <row r="91" spans="1:6">
      <c r="B91" t="s">
        <v>15</v>
      </c>
      <c r="C91" s="56" t="s">
        <v>16</v>
      </c>
      <c r="D91" s="58">
        <v>117760.77945119575</v>
      </c>
      <c r="E91" s="58">
        <v>17664.116917679363</v>
      </c>
      <c r="F91" s="58">
        <v>100096.66253351638</v>
      </c>
    </row>
    <row r="92" spans="1:6">
      <c r="B92" t="s">
        <v>17</v>
      </c>
      <c r="C92" s="56" t="s">
        <v>18</v>
      </c>
      <c r="D92" s="58">
        <v>120338.67019519574</v>
      </c>
      <c r="E92" s="58">
        <v>18050.80052927936</v>
      </c>
      <c r="F92" s="58">
        <v>102287.86966591637</v>
      </c>
    </row>
    <row r="93" spans="1:6">
      <c r="C93" s="56"/>
    </row>
    <row r="94" spans="1:6" ht="29.25">
      <c r="A94" s="326" t="s">
        <v>35</v>
      </c>
      <c r="B94" t="s">
        <v>7</v>
      </c>
      <c r="C94" s="56"/>
      <c r="D94" s="58">
        <v>99218.473200000008</v>
      </c>
      <c r="E94" s="58">
        <v>14882.770980000001</v>
      </c>
      <c r="F94" s="58">
        <v>84335.702220000006</v>
      </c>
    </row>
    <row r="95" spans="1:6">
      <c r="B95" t="s">
        <v>9</v>
      </c>
      <c r="C95" s="56" t="s">
        <v>10</v>
      </c>
      <c r="D95" s="58">
        <v>99218.473200000008</v>
      </c>
      <c r="E95" s="58">
        <v>14882.770980000001</v>
      </c>
      <c r="F95" s="58">
        <v>84335.702220000006</v>
      </c>
    </row>
    <row r="96" spans="1:6">
      <c r="B96" t="s">
        <v>11</v>
      </c>
      <c r="C96" s="56" t="s">
        <v>12</v>
      </c>
      <c r="D96" s="58">
        <v>107965.09152</v>
      </c>
      <c r="E96" s="58">
        <v>16194.763728</v>
      </c>
      <c r="F96" s="58">
        <v>91770.327791999996</v>
      </c>
    </row>
    <row r="97" spans="2:6">
      <c r="B97" t="s">
        <v>13</v>
      </c>
      <c r="C97" s="56" t="s">
        <v>14</v>
      </c>
      <c r="D97" s="58">
        <v>108255.40703999999</v>
      </c>
      <c r="E97" s="58">
        <v>16238.311055999999</v>
      </c>
      <c r="F97" s="58">
        <v>92017.095983999985</v>
      </c>
    </row>
    <row r="98" spans="2:6">
      <c r="B98" t="s">
        <v>15</v>
      </c>
      <c r="C98" s="56" t="s">
        <v>16</v>
      </c>
      <c r="D98" s="58">
        <v>115211.59848</v>
      </c>
      <c r="E98" s="58">
        <v>17281.739772000001</v>
      </c>
      <c r="F98" s="58">
        <v>97929.858708</v>
      </c>
    </row>
    <row r="99" spans="2:6">
      <c r="B99" t="s">
        <v>17</v>
      </c>
      <c r="C99" s="56" t="s">
        <v>18</v>
      </c>
      <c r="D99" s="58">
        <v>117733.69872000001</v>
      </c>
      <c r="E99" s="58">
        <v>17660.054808000001</v>
      </c>
      <c r="F99" s="58">
        <v>100073.64391200001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B04F-0043-424D-9AB6-A8AB65B7E931}">
  <dimension ref="A1:AJ187"/>
  <sheetViews>
    <sheetView topLeftCell="A95" workbookViewId="0">
      <selection sqref="A1:G1048576"/>
    </sheetView>
  </sheetViews>
  <sheetFormatPr defaultColWidth="12.5703125" defaultRowHeight="18.75" customHeight="1"/>
  <cols>
    <col min="1" max="2" width="9.140625" style="10"/>
    <col min="3" max="3" width="12.5703125" customWidth="1"/>
    <col min="4" max="4" width="27.28515625" customWidth="1"/>
    <col min="5" max="5" width="14.7109375" customWidth="1"/>
    <col min="6" max="6" width="12.5703125" customWidth="1"/>
    <col min="7" max="7" width="13" customWidth="1"/>
    <col min="8" max="11" width="12.5703125" customWidth="1"/>
    <col min="12" max="12" width="27.28515625" style="136" customWidth="1"/>
    <col min="13" max="13" width="14.7109375" style="136" customWidth="1"/>
    <col min="14" max="14" width="12.5703125" style="136" customWidth="1"/>
    <col min="15" max="15" width="13" style="136" customWidth="1"/>
    <col min="16" max="18" width="12.5703125" style="136" customWidth="1"/>
    <col min="19" max="19" width="12.5703125" customWidth="1"/>
    <col min="20" max="20" width="18" customWidth="1"/>
    <col min="21" max="21" width="14.42578125" customWidth="1"/>
    <col min="22" max="22" width="15.5703125" customWidth="1"/>
    <col min="23" max="23" width="14.42578125" customWidth="1"/>
    <col min="24" max="24" width="11.85546875" customWidth="1"/>
    <col min="25" max="26" width="12.5703125" customWidth="1"/>
    <col min="27" max="27" width="14.140625" customWidth="1"/>
    <col min="28" max="28" width="17.140625" customWidth="1"/>
    <col min="29" max="29" width="21.140625" customWidth="1"/>
    <col min="30" max="30" width="16.140625" style="7" customWidth="1"/>
    <col min="31" max="31" width="16.140625" style="8" customWidth="1"/>
    <col min="32" max="32" width="12.5703125" customWidth="1"/>
    <col min="33" max="33" width="13.28515625" style="9" customWidth="1"/>
    <col min="34" max="34" width="12.5703125" customWidth="1"/>
    <col min="35" max="35" width="17.140625" customWidth="1"/>
    <col min="36" max="36" width="12.5703125" customWidth="1"/>
  </cols>
  <sheetData>
    <row r="1" spans="1:36">
      <c r="A1" s="1" t="s">
        <v>36</v>
      </c>
      <c r="B1" s="1"/>
      <c r="D1" s="2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3"/>
      <c r="T1" s="3"/>
      <c r="U1" s="3"/>
      <c r="V1" s="3"/>
      <c r="W1" s="6"/>
    </row>
    <row r="2" spans="1:36">
      <c r="D2" s="3"/>
      <c r="E2" s="3"/>
      <c r="F2" s="3"/>
      <c r="G2" s="3"/>
      <c r="H2" s="3"/>
      <c r="I2" s="3"/>
      <c r="J2" s="3"/>
      <c r="K2" s="3"/>
      <c r="L2" s="5"/>
      <c r="M2" s="5"/>
      <c r="N2" s="5"/>
      <c r="O2" s="5"/>
      <c r="P2" s="5"/>
      <c r="Q2" s="5"/>
      <c r="R2" s="5"/>
      <c r="S2" s="3"/>
      <c r="T2" s="3"/>
      <c r="U2" s="3"/>
      <c r="V2" s="3"/>
      <c r="W2" s="6"/>
    </row>
    <row r="3" spans="1:36">
      <c r="D3" s="3"/>
      <c r="E3" s="11"/>
      <c r="F3" s="11"/>
      <c r="G3" s="11"/>
      <c r="H3" s="11"/>
      <c r="I3" s="11"/>
      <c r="J3" s="11"/>
      <c r="K3" s="11"/>
      <c r="L3" s="5"/>
      <c r="M3" s="12"/>
      <c r="N3" s="12"/>
      <c r="O3" s="12"/>
      <c r="P3" s="12"/>
      <c r="Q3" s="12"/>
      <c r="R3" s="12"/>
      <c r="S3" s="11"/>
      <c r="T3" s="3"/>
      <c r="U3" s="11"/>
      <c r="V3" s="3"/>
      <c r="W3" s="6"/>
    </row>
    <row r="4" spans="1:36">
      <c r="D4" s="3"/>
      <c r="E4" s="11"/>
      <c r="F4" s="11"/>
      <c r="G4" s="11"/>
      <c r="H4" s="11"/>
      <c r="I4" s="11"/>
      <c r="J4" s="11"/>
      <c r="K4" s="11"/>
      <c r="L4" s="385" t="s">
        <v>37</v>
      </c>
      <c r="M4" s="385"/>
      <c r="N4" s="385"/>
      <c r="O4" s="385"/>
      <c r="P4" s="385"/>
      <c r="Q4" s="385"/>
      <c r="R4" s="385"/>
      <c r="S4" s="11"/>
      <c r="T4" s="3"/>
      <c r="U4" s="11"/>
      <c r="V4" s="3"/>
      <c r="W4" s="6"/>
    </row>
    <row r="5" spans="1:36" ht="18.75" customHeight="1">
      <c r="B5" s="1" t="s">
        <v>6</v>
      </c>
      <c r="D5" s="357" t="s">
        <v>1</v>
      </c>
      <c r="E5" s="357" t="s">
        <v>3</v>
      </c>
      <c r="F5" s="359" t="s">
        <v>38</v>
      </c>
      <c r="G5" s="360"/>
      <c r="H5" s="360"/>
      <c r="I5" s="360"/>
      <c r="J5" s="360"/>
      <c r="K5" s="13"/>
      <c r="L5" s="361" t="s">
        <v>1</v>
      </c>
      <c r="M5" s="361" t="s">
        <v>3</v>
      </c>
      <c r="N5" s="363" t="s">
        <v>38</v>
      </c>
      <c r="O5" s="364"/>
      <c r="P5" s="364"/>
      <c r="Q5" s="364"/>
      <c r="R5" s="364"/>
      <c r="S5" s="13"/>
      <c r="T5" s="14"/>
      <c r="U5" s="15"/>
      <c r="V5" s="3"/>
      <c r="W5" s="6"/>
    </row>
    <row r="6" spans="1:36" ht="143.25">
      <c r="D6" s="358"/>
      <c r="E6" s="358"/>
      <c r="F6" s="16" t="s">
        <v>39</v>
      </c>
      <c r="G6" s="17" t="s">
        <v>40</v>
      </c>
      <c r="H6" s="18" t="s">
        <v>41</v>
      </c>
      <c r="I6" s="18" t="s">
        <v>42</v>
      </c>
      <c r="J6" s="19" t="s">
        <v>43</v>
      </c>
      <c r="K6" s="20"/>
      <c r="L6" s="362"/>
      <c r="M6" s="362"/>
      <c r="N6" s="21" t="s">
        <v>39</v>
      </c>
      <c r="O6" s="22" t="s">
        <v>40</v>
      </c>
      <c r="P6" s="23" t="s">
        <v>41</v>
      </c>
      <c r="Q6" s="23" t="s">
        <v>42</v>
      </c>
      <c r="R6" s="24" t="s">
        <v>43</v>
      </c>
      <c r="S6" s="20"/>
      <c r="T6" s="25" t="s">
        <v>1</v>
      </c>
      <c r="U6" s="26" t="s">
        <v>44</v>
      </c>
      <c r="V6" s="26" t="s">
        <v>45</v>
      </c>
      <c r="W6" s="26" t="s">
        <v>46</v>
      </c>
      <c r="Y6" s="27"/>
      <c r="Z6" s="27"/>
      <c r="AA6" s="28" t="s">
        <v>47</v>
      </c>
      <c r="AB6" s="28" t="s">
        <v>48</v>
      </c>
      <c r="AC6" s="29" t="s">
        <v>49</v>
      </c>
      <c r="AD6" s="30" t="s">
        <v>50</v>
      </c>
      <c r="AE6" s="31" t="s">
        <v>51</v>
      </c>
      <c r="AG6" s="32" t="s">
        <v>52</v>
      </c>
      <c r="AI6" s="28"/>
    </row>
    <row r="7" spans="1:36">
      <c r="D7" s="33"/>
      <c r="E7" s="34"/>
      <c r="F7" s="35"/>
      <c r="G7" s="35"/>
      <c r="H7" s="35"/>
      <c r="I7" s="35"/>
      <c r="J7" s="36"/>
      <c r="K7" s="37"/>
      <c r="L7" s="38"/>
      <c r="M7" s="39"/>
      <c r="N7" s="40"/>
      <c r="O7" s="40"/>
      <c r="P7" s="40"/>
      <c r="Q7" s="40"/>
      <c r="R7" s="41"/>
      <c r="S7" s="37"/>
      <c r="T7" s="3"/>
      <c r="U7" s="42"/>
      <c r="V7" s="43"/>
      <c r="W7" s="6"/>
      <c r="AD7" s="44"/>
      <c r="AE7" s="45"/>
    </row>
    <row r="8" spans="1:36">
      <c r="D8" s="46" t="s">
        <v>7</v>
      </c>
      <c r="E8" s="47">
        <v>123300.47</v>
      </c>
      <c r="F8" s="48">
        <v>18495.07</v>
      </c>
      <c r="G8" s="49">
        <v>104805.4</v>
      </c>
      <c r="H8" s="49">
        <v>56594.92</v>
      </c>
      <c r="I8" s="49">
        <v>28821.49</v>
      </c>
      <c r="J8" s="50">
        <v>11738.2</v>
      </c>
      <c r="K8" s="51"/>
      <c r="L8" s="52" t="s">
        <v>7</v>
      </c>
      <c r="M8" s="53">
        <f>E8*0.95</f>
        <v>117135.44649999999</v>
      </c>
      <c r="N8" s="53">
        <f t="shared" ref="N8:R16" si="0">F8*0.95</f>
        <v>17570.316499999997</v>
      </c>
      <c r="O8" s="53">
        <f t="shared" si="0"/>
        <v>99565.12999999999</v>
      </c>
      <c r="P8" s="53">
        <f t="shared" si="0"/>
        <v>53765.173999999999</v>
      </c>
      <c r="Q8" s="53">
        <f t="shared" si="0"/>
        <v>27380.415499999999</v>
      </c>
      <c r="R8" s="53">
        <f t="shared" si="0"/>
        <v>11151.29</v>
      </c>
      <c r="S8" s="51"/>
      <c r="T8" s="54" t="s">
        <v>53</v>
      </c>
      <c r="U8" s="47">
        <v>123300.48</v>
      </c>
      <c r="V8" s="49">
        <v>117429.02</v>
      </c>
      <c r="W8" s="55">
        <v>115902.45</v>
      </c>
      <c r="X8" s="56">
        <f>V8/U8</f>
        <v>0.95238088286436529</v>
      </c>
      <c r="Y8" s="57">
        <f t="shared" ref="Y8:Y16" si="1">AA8/U8</f>
        <v>6.0000009732322203E-2</v>
      </c>
      <c r="Z8" s="57"/>
      <c r="AA8" s="58">
        <f>U8-W8</f>
        <v>7398.0299999999988</v>
      </c>
      <c r="AB8" s="58">
        <f>U8-AC8-AD8</f>
        <v>117525.48</v>
      </c>
      <c r="AC8" s="58">
        <v>5775</v>
      </c>
      <c r="AE8" s="8">
        <f>SUM(AB8:AD8)-AA8</f>
        <v>115902.45</v>
      </c>
      <c r="AF8" t="b">
        <f>AE8=W8</f>
        <v>1</v>
      </c>
      <c r="AG8" s="59">
        <f>SUM(AB8:AD8)</f>
        <v>123300.48</v>
      </c>
      <c r="AH8" t="b">
        <f t="shared" ref="AH8:AH16" si="2">AG8=U8</f>
        <v>1</v>
      </c>
      <c r="AI8" s="58">
        <f>AB8/(U8-AD8)</f>
        <v>0.95316319936467397</v>
      </c>
      <c r="AJ8" s="58">
        <f>AE8/U8</f>
        <v>0.93999999026767778</v>
      </c>
    </row>
    <row r="9" spans="1:36">
      <c r="D9" s="60" t="s">
        <v>54</v>
      </c>
      <c r="E9" s="61">
        <v>125275.85</v>
      </c>
      <c r="F9" s="62">
        <v>18791.38</v>
      </c>
      <c r="G9" s="63">
        <v>106484.47</v>
      </c>
      <c r="H9" s="63">
        <v>57501.61</v>
      </c>
      <c r="I9" s="63">
        <v>29283.23</v>
      </c>
      <c r="J9" s="64">
        <v>11926.26</v>
      </c>
      <c r="K9" s="51"/>
      <c r="L9" s="65" t="s">
        <v>54</v>
      </c>
      <c r="M9" s="53">
        <f t="shared" ref="M9:M16" si="3">E9*0.95</f>
        <v>119012.0575</v>
      </c>
      <c r="N9" s="53">
        <f t="shared" si="0"/>
        <v>17851.811000000002</v>
      </c>
      <c r="O9" s="53">
        <f t="shared" si="0"/>
        <v>101160.24649999999</v>
      </c>
      <c r="P9" s="53">
        <f t="shared" si="0"/>
        <v>54626.529499999997</v>
      </c>
      <c r="Q9" s="53">
        <f t="shared" si="0"/>
        <v>27819.068499999998</v>
      </c>
      <c r="R9" s="53">
        <f t="shared" si="0"/>
        <v>11329.947</v>
      </c>
      <c r="S9" s="51"/>
      <c r="T9" s="66" t="s">
        <v>54</v>
      </c>
      <c r="U9" s="61">
        <v>125275.85</v>
      </c>
      <c r="V9" s="63">
        <v>119310.33</v>
      </c>
      <c r="W9" s="67">
        <v>117759.3</v>
      </c>
      <c r="X9" s="56">
        <f t="shared" ref="X9:X16" si="4">V9/U9</f>
        <v>0.95238092577300415</v>
      </c>
      <c r="Y9" s="57">
        <f t="shared" si="1"/>
        <v>5.999999201761555E-2</v>
      </c>
      <c r="Z9" s="57"/>
      <c r="AA9" s="58">
        <f t="shared" ref="AA9:AA16" si="5">U9-W9</f>
        <v>7516.5500000000029</v>
      </c>
      <c r="AB9" s="58">
        <f t="shared" ref="AB9:AB16" si="6">U9-AC9-AD9</f>
        <v>119500.85</v>
      </c>
      <c r="AC9" s="58">
        <v>5775</v>
      </c>
      <c r="AE9" s="8">
        <f t="shared" ref="AE9:AE16" si="7">SUM(AB9:AD9)-AA9</f>
        <v>117759.3</v>
      </c>
      <c r="AF9" t="b">
        <f t="shared" ref="AF9:AF16" si="8">AE9=W9</f>
        <v>1</v>
      </c>
      <c r="AG9" s="59">
        <f t="shared" ref="AG9:AG16" si="9">SUM(AB9:AD9)</f>
        <v>125275.85</v>
      </c>
      <c r="AH9" t="b">
        <f t="shared" si="2"/>
        <v>1</v>
      </c>
      <c r="AI9" s="58">
        <f>AB9/(U9-AD9)</f>
        <v>0.9539017296629797</v>
      </c>
      <c r="AJ9" s="58">
        <f t="shared" ref="AJ9:AJ16" si="10">AE9/U9</f>
        <v>0.94000000798238448</v>
      </c>
    </row>
    <row r="10" spans="1:36">
      <c r="D10" s="60" t="s">
        <v>11</v>
      </c>
      <c r="E10" s="61">
        <v>136319.56</v>
      </c>
      <c r="F10" s="62">
        <v>20447.93</v>
      </c>
      <c r="G10" s="63">
        <v>115871.62</v>
      </c>
      <c r="H10" s="63">
        <v>62570.68</v>
      </c>
      <c r="I10" s="63">
        <v>31864.7</v>
      </c>
      <c r="J10" s="64">
        <v>12977.62</v>
      </c>
      <c r="K10" s="51"/>
      <c r="L10" s="65" t="s">
        <v>11</v>
      </c>
      <c r="M10" s="53">
        <f t="shared" si="3"/>
        <v>129503.58199999999</v>
      </c>
      <c r="N10" s="53">
        <f t="shared" si="0"/>
        <v>19425.533499999998</v>
      </c>
      <c r="O10" s="53">
        <f t="shared" si="0"/>
        <v>110078.03899999999</v>
      </c>
      <c r="P10" s="53">
        <f t="shared" si="0"/>
        <v>59442.146000000001</v>
      </c>
      <c r="Q10" s="53">
        <f t="shared" si="0"/>
        <v>30271.465</v>
      </c>
      <c r="R10" s="53">
        <f t="shared" si="0"/>
        <v>12328.739</v>
      </c>
      <c r="S10" s="51"/>
      <c r="T10" s="66" t="s">
        <v>11</v>
      </c>
      <c r="U10" s="61">
        <v>136319.56</v>
      </c>
      <c r="V10" s="63">
        <v>129828.15</v>
      </c>
      <c r="W10" s="67">
        <v>128140.39</v>
      </c>
      <c r="X10" s="56">
        <f t="shared" si="4"/>
        <v>0.95238093491498943</v>
      </c>
      <c r="Y10" s="57">
        <f t="shared" si="1"/>
        <v>5.9999973591464043E-2</v>
      </c>
      <c r="Z10" s="57"/>
      <c r="AA10" s="58">
        <f t="shared" si="5"/>
        <v>8179.1699999999983</v>
      </c>
      <c r="AB10" s="58">
        <f>U10-AC10-AD10</f>
        <v>124735.11</v>
      </c>
      <c r="AC10" s="58">
        <v>8400</v>
      </c>
      <c r="AD10" s="7">
        <v>3184.45</v>
      </c>
      <c r="AE10" s="8">
        <f t="shared" si="7"/>
        <v>128140.39</v>
      </c>
      <c r="AF10" t="b">
        <f t="shared" si="8"/>
        <v>1</v>
      </c>
      <c r="AG10" s="59">
        <f t="shared" si="9"/>
        <v>136319.56</v>
      </c>
      <c r="AH10" t="b">
        <f t="shared" si="2"/>
        <v>1</v>
      </c>
      <c r="AI10" s="58">
        <f>AB10/(U10-AD10)</f>
        <v>0.9369062000249222</v>
      </c>
      <c r="AJ10" s="58">
        <f t="shared" si="10"/>
        <v>0.94000002640853597</v>
      </c>
    </row>
    <row r="11" spans="1:36">
      <c r="D11" s="60" t="s">
        <v>13</v>
      </c>
      <c r="E11" s="61">
        <v>136686.12</v>
      </c>
      <c r="F11" s="62">
        <v>20502.919999999998</v>
      </c>
      <c r="G11" s="63">
        <v>116183.2</v>
      </c>
      <c r="H11" s="63">
        <v>62738.93</v>
      </c>
      <c r="I11" s="63">
        <v>31950.38</v>
      </c>
      <c r="J11" s="64">
        <v>13012.52</v>
      </c>
      <c r="K11" s="51"/>
      <c r="L11" s="65" t="s">
        <v>13</v>
      </c>
      <c r="M11" s="53">
        <f t="shared" si="3"/>
        <v>129851.81399999998</v>
      </c>
      <c r="N11" s="53">
        <f t="shared" si="0"/>
        <v>19477.773999999998</v>
      </c>
      <c r="O11" s="53">
        <f t="shared" si="0"/>
        <v>110374.04</v>
      </c>
      <c r="P11" s="53">
        <f t="shared" si="0"/>
        <v>59601.983499999995</v>
      </c>
      <c r="Q11" s="53">
        <f t="shared" si="0"/>
        <v>30352.861000000001</v>
      </c>
      <c r="R11" s="53">
        <f t="shared" si="0"/>
        <v>12361.894</v>
      </c>
      <c r="S11" s="51"/>
      <c r="T11" s="66" t="s">
        <v>13</v>
      </c>
      <c r="U11" s="61">
        <v>136686.12</v>
      </c>
      <c r="V11" s="63">
        <v>130177.26</v>
      </c>
      <c r="W11" s="67">
        <v>128484.96</v>
      </c>
      <c r="X11" s="56">
        <f t="shared" si="4"/>
        <v>0.95238097328390037</v>
      </c>
      <c r="Y11" s="57">
        <f t="shared" si="1"/>
        <v>5.9999947324570986E-2</v>
      </c>
      <c r="Z11" s="57"/>
      <c r="AA11" s="58">
        <f t="shared" si="5"/>
        <v>8201.1599999999889</v>
      </c>
      <c r="AB11" s="58">
        <f>U11-AC11-AD11</f>
        <v>125136.12</v>
      </c>
      <c r="AC11" s="58">
        <v>11550</v>
      </c>
      <c r="AE11" s="8">
        <f t="shared" si="7"/>
        <v>128484.96</v>
      </c>
      <c r="AF11" t="b">
        <f t="shared" si="8"/>
        <v>1</v>
      </c>
      <c r="AG11" s="59">
        <f t="shared" si="9"/>
        <v>136686.12</v>
      </c>
      <c r="AH11" t="b">
        <f t="shared" si="2"/>
        <v>1</v>
      </c>
      <c r="AI11" s="58">
        <f t="shared" ref="AI11:AI16" si="11">AB11/(U11-AD11)</f>
        <v>0.91549983275551317</v>
      </c>
      <c r="AJ11" s="58">
        <f t="shared" si="10"/>
        <v>0.94000005267542897</v>
      </c>
    </row>
    <row r="12" spans="1:36">
      <c r="D12" s="60" t="s">
        <v>15</v>
      </c>
      <c r="E12" s="61">
        <v>145469.19</v>
      </c>
      <c r="F12" s="62">
        <v>21820.38</v>
      </c>
      <c r="G12" s="63">
        <v>123648.82</v>
      </c>
      <c r="H12" s="63">
        <v>66770.36</v>
      </c>
      <c r="I12" s="63">
        <v>34003.42</v>
      </c>
      <c r="J12" s="64">
        <v>13848.67</v>
      </c>
      <c r="K12" s="51"/>
      <c r="L12" s="65" t="s">
        <v>15</v>
      </c>
      <c r="M12" s="53">
        <f t="shared" si="3"/>
        <v>138195.73050000001</v>
      </c>
      <c r="N12" s="53">
        <f t="shared" si="0"/>
        <v>20729.361000000001</v>
      </c>
      <c r="O12" s="53">
        <f t="shared" si="0"/>
        <v>117466.379</v>
      </c>
      <c r="P12" s="53">
        <f t="shared" si="0"/>
        <v>63431.841999999997</v>
      </c>
      <c r="Q12" s="53">
        <f t="shared" si="0"/>
        <v>32303.248999999996</v>
      </c>
      <c r="R12" s="53">
        <f t="shared" si="0"/>
        <v>13156.236499999999</v>
      </c>
      <c r="S12" s="51"/>
      <c r="T12" s="66" t="s">
        <v>15</v>
      </c>
      <c r="U12" s="61">
        <v>145469.20000000001</v>
      </c>
      <c r="V12" s="63">
        <v>138542.09</v>
      </c>
      <c r="W12" s="67">
        <v>136741.04999999999</v>
      </c>
      <c r="X12" s="56">
        <f t="shared" si="4"/>
        <v>0.9523809163726753</v>
      </c>
      <c r="Y12" s="57">
        <f t="shared" si="1"/>
        <v>5.9999986251385327E-2</v>
      </c>
      <c r="Z12" s="57"/>
      <c r="AA12" s="58">
        <f t="shared" si="5"/>
        <v>8728.1500000000233</v>
      </c>
      <c r="AB12" s="58">
        <f t="shared" si="6"/>
        <v>129719.20000000001</v>
      </c>
      <c r="AC12" s="58">
        <v>15750</v>
      </c>
      <c r="AE12" s="8">
        <f t="shared" si="7"/>
        <v>136741.04999999999</v>
      </c>
      <c r="AF12" t="b">
        <f t="shared" si="8"/>
        <v>1</v>
      </c>
      <c r="AG12" s="59">
        <f t="shared" si="9"/>
        <v>145469.20000000001</v>
      </c>
      <c r="AH12" t="b">
        <f t="shared" si="2"/>
        <v>1</v>
      </c>
      <c r="AI12" s="58">
        <f t="shared" si="11"/>
        <v>0.89172965823693262</v>
      </c>
      <c r="AJ12" s="58">
        <f t="shared" si="10"/>
        <v>0.94000001374861464</v>
      </c>
    </row>
    <row r="13" spans="1:36">
      <c r="D13" s="60" t="s">
        <v>17</v>
      </c>
      <c r="E13" s="61">
        <v>148653.66</v>
      </c>
      <c r="F13" s="62">
        <v>22298.05</v>
      </c>
      <c r="G13" s="63">
        <v>126355.61</v>
      </c>
      <c r="H13" s="63">
        <v>68232.03</v>
      </c>
      <c r="I13" s="63">
        <v>34747.79</v>
      </c>
      <c r="J13" s="64">
        <v>14151.83</v>
      </c>
      <c r="K13" s="51"/>
      <c r="L13" s="65" t="s">
        <v>17</v>
      </c>
      <c r="M13" s="53">
        <f t="shared" si="3"/>
        <v>141220.97699999998</v>
      </c>
      <c r="N13" s="53">
        <f t="shared" si="0"/>
        <v>21183.147499999999</v>
      </c>
      <c r="O13" s="53">
        <f t="shared" si="0"/>
        <v>120037.82949999999</v>
      </c>
      <c r="P13" s="53">
        <f t="shared" si="0"/>
        <v>64820.428499999995</v>
      </c>
      <c r="Q13" s="53">
        <f t="shared" si="0"/>
        <v>33010.400499999996</v>
      </c>
      <c r="R13" s="53">
        <f t="shared" si="0"/>
        <v>13444.238499999999</v>
      </c>
      <c r="S13" s="51"/>
      <c r="T13" s="66" t="s">
        <v>17</v>
      </c>
      <c r="U13" s="61">
        <v>148653.65</v>
      </c>
      <c r="V13" s="63">
        <v>141574.91</v>
      </c>
      <c r="W13" s="67">
        <v>139734.43</v>
      </c>
      <c r="X13" s="56">
        <f t="shared" si="4"/>
        <v>0.95238098761786216</v>
      </c>
      <c r="Y13" s="57">
        <f t="shared" si="1"/>
        <v>6.0000006727046404E-2</v>
      </c>
      <c r="Z13" s="57"/>
      <c r="AA13" s="58">
        <f t="shared" si="5"/>
        <v>8919.2200000000012</v>
      </c>
      <c r="AB13" s="58">
        <f t="shared" si="6"/>
        <v>129719.2</v>
      </c>
      <c r="AC13" s="58">
        <v>15750</v>
      </c>
      <c r="AD13" s="7">
        <v>3184.45</v>
      </c>
      <c r="AE13" s="8">
        <f t="shared" si="7"/>
        <v>139734.43000000002</v>
      </c>
      <c r="AF13" t="b">
        <f t="shared" si="8"/>
        <v>1</v>
      </c>
      <c r="AG13" s="59">
        <f t="shared" si="9"/>
        <v>148653.65000000002</v>
      </c>
      <c r="AH13" t="b">
        <f t="shared" si="2"/>
        <v>1</v>
      </c>
      <c r="AI13" s="58">
        <f t="shared" si="11"/>
        <v>0.89172965823693273</v>
      </c>
      <c r="AJ13" s="58">
        <f t="shared" si="10"/>
        <v>0.9399999932729538</v>
      </c>
    </row>
    <row r="14" spans="1:36">
      <c r="D14" s="68" t="s">
        <v>19</v>
      </c>
      <c r="E14" s="61">
        <v>150883.46</v>
      </c>
      <c r="F14" s="62">
        <v>22632.52</v>
      </c>
      <c r="G14" s="63">
        <v>128250.94</v>
      </c>
      <c r="H14" s="63">
        <v>69255.509999999995</v>
      </c>
      <c r="I14" s="63">
        <v>35269.01</v>
      </c>
      <c r="J14" s="64">
        <v>14364.11</v>
      </c>
      <c r="K14" s="51"/>
      <c r="L14" s="52" t="s">
        <v>19</v>
      </c>
      <c r="M14" s="53">
        <f t="shared" si="3"/>
        <v>143339.28699999998</v>
      </c>
      <c r="N14" s="53">
        <f t="shared" si="0"/>
        <v>21500.894</v>
      </c>
      <c r="O14" s="53">
        <f t="shared" si="0"/>
        <v>121838.393</v>
      </c>
      <c r="P14" s="53">
        <f t="shared" si="0"/>
        <v>65792.734499999991</v>
      </c>
      <c r="Q14" s="53">
        <f t="shared" si="0"/>
        <v>33505.559500000003</v>
      </c>
      <c r="R14" s="53">
        <f t="shared" si="0"/>
        <v>13645.904500000001</v>
      </c>
      <c r="S14" s="51"/>
      <c r="T14" s="69" t="s">
        <v>19</v>
      </c>
      <c r="U14" s="61">
        <v>150883.46</v>
      </c>
      <c r="V14" s="63">
        <v>143698.53</v>
      </c>
      <c r="W14" s="67">
        <v>141830.45000000001</v>
      </c>
      <c r="X14" s="56">
        <f t="shared" si="4"/>
        <v>0.95238093028884685</v>
      </c>
      <c r="Y14" s="57">
        <f t="shared" si="1"/>
        <v>6.0000015906315915E-2</v>
      </c>
      <c r="Z14" s="57"/>
      <c r="AA14" s="58">
        <f t="shared" si="5"/>
        <v>9053.0099999999802</v>
      </c>
      <c r="AB14" s="58">
        <f t="shared" si="6"/>
        <v>134083.46</v>
      </c>
      <c r="AC14" s="58">
        <v>16800</v>
      </c>
      <c r="AE14" s="8">
        <f t="shared" si="7"/>
        <v>141830.45000000001</v>
      </c>
      <c r="AF14" t="b">
        <f t="shared" si="8"/>
        <v>1</v>
      </c>
      <c r="AG14" s="59">
        <f t="shared" si="9"/>
        <v>150883.46</v>
      </c>
      <c r="AH14" t="b">
        <f t="shared" si="2"/>
        <v>1</v>
      </c>
      <c r="AI14" s="58">
        <f t="shared" si="11"/>
        <v>0.88865578771854781</v>
      </c>
      <c r="AJ14" s="58">
        <f t="shared" si="10"/>
        <v>0.93999998409368413</v>
      </c>
    </row>
    <row r="15" spans="1:36">
      <c r="D15" s="68" t="s">
        <v>21</v>
      </c>
      <c r="E15" s="61">
        <v>152392.29999999999</v>
      </c>
      <c r="F15" s="62">
        <v>22858.84</v>
      </c>
      <c r="G15" s="63">
        <v>129533.45</v>
      </c>
      <c r="H15" s="63">
        <v>69948.06</v>
      </c>
      <c r="I15" s="63">
        <v>35621.699999999997</v>
      </c>
      <c r="J15" s="64">
        <v>14507.75</v>
      </c>
      <c r="K15" s="51"/>
      <c r="L15" s="52" t="s">
        <v>21</v>
      </c>
      <c r="M15" s="53">
        <f t="shared" si="3"/>
        <v>144772.68499999997</v>
      </c>
      <c r="N15" s="53">
        <f t="shared" si="0"/>
        <v>21715.897999999997</v>
      </c>
      <c r="O15" s="53">
        <f t="shared" si="0"/>
        <v>123056.7775</v>
      </c>
      <c r="P15" s="53">
        <f t="shared" si="0"/>
        <v>66450.656999999992</v>
      </c>
      <c r="Q15" s="53">
        <f t="shared" si="0"/>
        <v>33840.614999999998</v>
      </c>
      <c r="R15" s="53">
        <f t="shared" si="0"/>
        <v>13782.362499999999</v>
      </c>
      <c r="S15" s="51"/>
      <c r="T15" s="69" t="s">
        <v>21</v>
      </c>
      <c r="U15" s="61">
        <v>152392.29</v>
      </c>
      <c r="V15" s="63">
        <v>145135.51999999999</v>
      </c>
      <c r="W15" s="67">
        <v>143248.75</v>
      </c>
      <c r="X15" s="56">
        <f t="shared" si="4"/>
        <v>0.95238098987816233</v>
      </c>
      <c r="Y15" s="57">
        <f t="shared" si="1"/>
        <v>6.0000017061230641E-2</v>
      </c>
      <c r="Z15" s="57"/>
      <c r="AA15" s="58">
        <f t="shared" si="5"/>
        <v>9143.5400000000081</v>
      </c>
      <c r="AB15" s="58">
        <f t="shared" si="6"/>
        <v>135592.29</v>
      </c>
      <c r="AC15" s="58">
        <v>16800</v>
      </c>
      <c r="AE15" s="8">
        <f t="shared" si="7"/>
        <v>143248.75</v>
      </c>
      <c r="AF15" t="b">
        <f t="shared" si="8"/>
        <v>1</v>
      </c>
      <c r="AG15" s="59">
        <f t="shared" si="9"/>
        <v>152392.29</v>
      </c>
      <c r="AH15" t="b">
        <f t="shared" si="2"/>
        <v>1</v>
      </c>
      <c r="AI15" s="58">
        <f t="shared" si="11"/>
        <v>0.88975820233425196</v>
      </c>
      <c r="AJ15" s="58">
        <f t="shared" si="10"/>
        <v>0.93999998293876941</v>
      </c>
    </row>
    <row r="16" spans="1:36">
      <c r="D16" s="70" t="s">
        <v>23</v>
      </c>
      <c r="E16" s="71">
        <v>155576.75</v>
      </c>
      <c r="F16" s="72">
        <v>23336.51</v>
      </c>
      <c r="G16" s="73">
        <v>132240.23000000001</v>
      </c>
      <c r="H16" s="73">
        <v>71409.73</v>
      </c>
      <c r="I16" s="73">
        <v>36366.06</v>
      </c>
      <c r="J16" s="74">
        <v>14810.91</v>
      </c>
      <c r="K16" s="51"/>
      <c r="L16" s="52" t="s">
        <v>23</v>
      </c>
      <c r="M16" s="53">
        <f t="shared" si="3"/>
        <v>147797.91250000001</v>
      </c>
      <c r="N16" s="53">
        <f t="shared" si="0"/>
        <v>22169.684499999996</v>
      </c>
      <c r="O16" s="53">
        <f t="shared" si="0"/>
        <v>125628.2185</v>
      </c>
      <c r="P16" s="53">
        <f t="shared" si="0"/>
        <v>67839.243499999997</v>
      </c>
      <c r="Q16" s="53">
        <f t="shared" si="0"/>
        <v>34547.756999999998</v>
      </c>
      <c r="R16" s="53">
        <f t="shared" si="0"/>
        <v>14070.3645</v>
      </c>
      <c r="S16" s="51"/>
      <c r="T16" s="75" t="s">
        <v>23</v>
      </c>
      <c r="U16" s="71">
        <v>155576.74</v>
      </c>
      <c r="V16" s="73">
        <v>148168.32999999999</v>
      </c>
      <c r="W16" s="76">
        <v>146242.14000000001</v>
      </c>
      <c r="X16" s="56">
        <f t="shared" si="4"/>
        <v>0.95238099217145178</v>
      </c>
      <c r="Y16" s="57">
        <f t="shared" si="1"/>
        <v>5.9999971718137153E-2</v>
      </c>
      <c r="Z16" s="57"/>
      <c r="AA16" s="58">
        <f t="shared" si="5"/>
        <v>9334.5999999999767</v>
      </c>
      <c r="AB16" s="58">
        <f t="shared" si="6"/>
        <v>135592.28999999998</v>
      </c>
      <c r="AC16" s="58">
        <v>16800</v>
      </c>
      <c r="AD16" s="7">
        <v>3184.45</v>
      </c>
      <c r="AE16" s="8">
        <f t="shared" si="7"/>
        <v>146242.14000000001</v>
      </c>
      <c r="AF16" t="b">
        <f t="shared" si="8"/>
        <v>1</v>
      </c>
      <c r="AG16" s="59">
        <f t="shared" si="9"/>
        <v>155576.74</v>
      </c>
      <c r="AH16" t="b">
        <f t="shared" si="2"/>
        <v>1</v>
      </c>
      <c r="AI16" s="58">
        <f t="shared" si="11"/>
        <v>0.88975820233425196</v>
      </c>
      <c r="AJ16" s="58">
        <f t="shared" si="10"/>
        <v>0.9400000282818628</v>
      </c>
    </row>
    <row r="17" spans="2:36">
      <c r="D17" s="77" t="s">
        <v>55</v>
      </c>
      <c r="E17" s="78"/>
      <c r="F17" s="78"/>
      <c r="G17" s="78"/>
      <c r="H17" s="78"/>
      <c r="I17" s="78"/>
      <c r="J17" s="78"/>
      <c r="K17" s="78"/>
      <c r="L17" s="79" t="s">
        <v>55</v>
      </c>
      <c r="M17" s="80"/>
      <c r="N17" s="80"/>
      <c r="O17" s="80"/>
      <c r="P17" s="80"/>
      <c r="Q17" s="80"/>
      <c r="R17" s="80"/>
      <c r="S17" s="78"/>
      <c r="T17" s="3"/>
      <c r="U17" s="3"/>
      <c r="V17" s="3"/>
      <c r="W17" s="6"/>
    </row>
    <row r="18" spans="2:36">
      <c r="D18" s="77" t="s">
        <v>56</v>
      </c>
      <c r="E18" s="78"/>
      <c r="F18" s="78"/>
      <c r="G18" s="78"/>
      <c r="H18" s="78"/>
      <c r="I18" s="78"/>
      <c r="J18" s="78"/>
      <c r="K18" s="78"/>
      <c r="L18" s="79" t="s">
        <v>56</v>
      </c>
      <c r="M18" s="80"/>
      <c r="N18" s="80"/>
      <c r="O18" s="80"/>
      <c r="P18" s="80"/>
      <c r="Q18" s="80"/>
      <c r="R18" s="80"/>
      <c r="S18" s="78"/>
      <c r="T18" s="3"/>
      <c r="U18" s="3"/>
      <c r="V18" s="3"/>
      <c r="W18" s="6"/>
    </row>
    <row r="19" spans="2:36" ht="27.95" customHeight="1">
      <c r="D19" s="345" t="s">
        <v>57</v>
      </c>
      <c r="E19" s="345"/>
      <c r="F19" s="345"/>
      <c r="G19" s="345"/>
      <c r="H19" s="345"/>
      <c r="I19" s="345"/>
      <c r="J19" s="345"/>
      <c r="K19" s="81"/>
      <c r="L19" s="328" t="s">
        <v>57</v>
      </c>
      <c r="M19" s="328"/>
      <c r="N19" s="328"/>
      <c r="O19" s="328"/>
      <c r="P19" s="328"/>
      <c r="Q19" s="328"/>
      <c r="R19" s="328"/>
      <c r="S19" s="81"/>
      <c r="T19" s="3"/>
      <c r="U19" s="3"/>
      <c r="V19" s="3"/>
      <c r="W19" s="6"/>
    </row>
    <row r="20" spans="2:36">
      <c r="D20" s="83"/>
      <c r="E20" s="37"/>
      <c r="F20" s="37"/>
      <c r="G20" s="37"/>
      <c r="H20" s="37"/>
      <c r="I20" s="37"/>
      <c r="J20" s="37"/>
      <c r="K20" s="37"/>
      <c r="L20" s="84"/>
      <c r="M20" s="5"/>
      <c r="N20" s="5"/>
      <c r="O20" s="5"/>
      <c r="P20" s="5"/>
      <c r="Q20" s="5"/>
      <c r="R20" s="5"/>
      <c r="S20" s="37"/>
      <c r="T20" s="3"/>
      <c r="U20" s="3"/>
      <c r="V20" s="3"/>
      <c r="W20" s="6"/>
    </row>
    <row r="21" spans="2:36" ht="18.75" customHeight="1">
      <c r="B21" s="1" t="s">
        <v>25</v>
      </c>
      <c r="D21" s="371" t="s">
        <v>1</v>
      </c>
      <c r="E21" s="373" t="s">
        <v>3</v>
      </c>
      <c r="F21" s="375" t="s">
        <v>58</v>
      </c>
      <c r="G21" s="376"/>
      <c r="H21" s="376"/>
      <c r="I21" s="376"/>
      <c r="J21" s="377"/>
      <c r="K21" s="85"/>
      <c r="L21" s="378" t="s">
        <v>1</v>
      </c>
      <c r="M21" s="380" t="s">
        <v>3</v>
      </c>
      <c r="N21" s="382" t="s">
        <v>58</v>
      </c>
      <c r="O21" s="383"/>
      <c r="P21" s="383"/>
      <c r="Q21" s="383"/>
      <c r="R21" s="384"/>
      <c r="S21" s="85"/>
      <c r="T21" s="14"/>
      <c r="U21" s="15"/>
      <c r="V21" s="3"/>
      <c r="W21" s="6"/>
    </row>
    <row r="22" spans="2:36" ht="144">
      <c r="D22" s="372"/>
      <c r="E22" s="374"/>
      <c r="F22" s="86" t="s">
        <v>59</v>
      </c>
      <c r="G22" s="87" t="s">
        <v>60</v>
      </c>
      <c r="H22" s="88" t="s">
        <v>61</v>
      </c>
      <c r="I22" s="89" t="s">
        <v>62</v>
      </c>
      <c r="J22" s="90" t="s">
        <v>63</v>
      </c>
      <c r="K22" s="91"/>
      <c r="L22" s="379"/>
      <c r="M22" s="381"/>
      <c r="N22" s="92" t="s">
        <v>59</v>
      </c>
      <c r="O22" s="93" t="s">
        <v>60</v>
      </c>
      <c r="P22" s="94" t="s">
        <v>61</v>
      </c>
      <c r="Q22" s="95" t="s">
        <v>62</v>
      </c>
      <c r="R22" s="96" t="s">
        <v>63</v>
      </c>
      <c r="S22" s="91"/>
      <c r="T22" s="25" t="s">
        <v>1</v>
      </c>
      <c r="U22" s="26" t="s">
        <v>44</v>
      </c>
      <c r="V22" s="26" t="s">
        <v>45</v>
      </c>
      <c r="W22" s="26" t="s">
        <v>46</v>
      </c>
      <c r="AB22" s="28" t="s">
        <v>48</v>
      </c>
      <c r="AC22" s="29" t="s">
        <v>49</v>
      </c>
      <c r="AD22" s="30" t="s">
        <v>50</v>
      </c>
      <c r="AE22" s="31"/>
      <c r="AI22" s="28"/>
    </row>
    <row r="23" spans="2:36">
      <c r="D23" s="97"/>
      <c r="E23" s="98"/>
      <c r="F23" s="98"/>
      <c r="G23" s="98"/>
      <c r="H23" s="98"/>
      <c r="I23" s="98"/>
      <c r="J23" s="98"/>
      <c r="K23" s="99"/>
      <c r="L23" s="100"/>
      <c r="M23" s="101"/>
      <c r="N23" s="101"/>
      <c r="O23" s="101"/>
      <c r="P23" s="101"/>
      <c r="Q23" s="101"/>
      <c r="R23" s="101"/>
      <c r="S23" s="99"/>
      <c r="T23" s="3"/>
      <c r="U23" s="42"/>
      <c r="V23" s="3"/>
      <c r="W23" s="6"/>
      <c r="Y23" s="27"/>
      <c r="Z23" s="27"/>
      <c r="AA23" s="27"/>
    </row>
    <row r="24" spans="2:36">
      <c r="D24" s="102" t="s">
        <v>7</v>
      </c>
      <c r="E24" s="103">
        <v>136860.61199999999</v>
      </c>
      <c r="F24" s="104">
        <v>20529.091799999998</v>
      </c>
      <c r="G24" s="105">
        <v>116331.5202</v>
      </c>
      <c r="H24" s="106">
        <v>62819.020908000006</v>
      </c>
      <c r="I24" s="106">
        <v>31991.168055000002</v>
      </c>
      <c r="J24" s="103">
        <v>13029.1302624</v>
      </c>
      <c r="K24" s="107"/>
      <c r="L24" s="108" t="s">
        <v>7</v>
      </c>
      <c r="M24" s="109">
        <f>E24*0.95</f>
        <v>130017.58139999998</v>
      </c>
      <c r="N24" s="109">
        <f t="shared" ref="N24:R32" si="12">F24*0.95</f>
        <v>19502.637209999997</v>
      </c>
      <c r="O24" s="109">
        <f t="shared" si="12"/>
        <v>110514.94418999999</v>
      </c>
      <c r="P24" s="109">
        <f t="shared" si="12"/>
        <v>59678.069862600001</v>
      </c>
      <c r="Q24" s="109">
        <f t="shared" si="12"/>
        <v>30391.609652250001</v>
      </c>
      <c r="R24" s="109">
        <f t="shared" si="12"/>
        <v>12377.67374928</v>
      </c>
      <c r="S24" s="107"/>
      <c r="T24" s="110" t="s">
        <v>7</v>
      </c>
      <c r="U24" s="111">
        <v>136860.61199999999</v>
      </c>
      <c r="V24" s="111">
        <v>130343.44</v>
      </c>
      <c r="W24" s="112">
        <f>U24*0.94</f>
        <v>128648.97527999998</v>
      </c>
      <c r="X24" s="56">
        <f>V24/U24</f>
        <v>0.95238095238095244</v>
      </c>
      <c r="Y24" s="57">
        <f t="shared" ref="Y24:Y32" si="13">AA24/U24</f>
        <v>6.0000000000000074E-2</v>
      </c>
      <c r="Z24" s="57"/>
      <c r="AA24" s="58">
        <f>U24-W24</f>
        <v>8211.6367200000095</v>
      </c>
      <c r="AB24" s="58">
        <f t="shared" ref="AB24:AB32" si="14">U24-AC24-AD24</f>
        <v>131085.61199999999</v>
      </c>
      <c r="AC24" s="58">
        <v>5775</v>
      </c>
      <c r="AE24" s="8">
        <f>SUM(AB24:AD24)-AA24</f>
        <v>128648.97527999998</v>
      </c>
      <c r="AF24" t="b">
        <f>AE24=W24</f>
        <v>1</v>
      </c>
      <c r="AG24" s="59">
        <f>SUM(AB24:AD24)</f>
        <v>136860.61199999999</v>
      </c>
      <c r="AH24" t="b">
        <f>AG24=U24</f>
        <v>1</v>
      </c>
      <c r="AI24" s="58">
        <f>AB24/(U24-AD24)</f>
        <v>0.95780378360429952</v>
      </c>
      <c r="AJ24" s="58">
        <f>AE24/U24</f>
        <v>0.94</v>
      </c>
    </row>
    <row r="25" spans="2:36">
      <c r="D25" s="113" t="s">
        <v>64</v>
      </c>
      <c r="E25" s="114">
        <v>144268.698</v>
      </c>
      <c r="F25" s="115">
        <v>21640.304700000001</v>
      </c>
      <c r="G25" s="116">
        <v>122628.3933</v>
      </c>
      <c r="H25" s="117">
        <v>66219.332382000008</v>
      </c>
      <c r="I25" s="117">
        <v>33722.808157500003</v>
      </c>
      <c r="J25" s="114">
        <v>13734.3800496</v>
      </c>
      <c r="K25" s="107"/>
      <c r="L25" s="118" t="s">
        <v>64</v>
      </c>
      <c r="M25" s="109">
        <f t="shared" ref="M25:M32" si="15">E25*0.95</f>
        <v>137055.26310000001</v>
      </c>
      <c r="N25" s="109">
        <f t="shared" si="12"/>
        <v>20558.289464999998</v>
      </c>
      <c r="O25" s="109">
        <f t="shared" si="12"/>
        <v>116496.97363499999</v>
      </c>
      <c r="P25" s="109">
        <f t="shared" si="12"/>
        <v>62908.365762900001</v>
      </c>
      <c r="Q25" s="109">
        <f t="shared" si="12"/>
        <v>32036.667749625001</v>
      </c>
      <c r="R25" s="109">
        <f t="shared" si="12"/>
        <v>13047.66104712</v>
      </c>
      <c r="S25" s="107"/>
      <c r="T25" s="119" t="s">
        <v>54</v>
      </c>
      <c r="U25" s="120">
        <v>144268.698</v>
      </c>
      <c r="V25" s="120">
        <v>137398.76</v>
      </c>
      <c r="W25" s="121">
        <f>U25*0.94</f>
        <v>135612.57611999998</v>
      </c>
      <c r="X25" s="56">
        <f t="shared" ref="X25:X32" si="16">V25/U25</f>
        <v>0.95238095238095244</v>
      </c>
      <c r="Y25" s="57">
        <f t="shared" si="13"/>
        <v>6.0000000000000143E-2</v>
      </c>
      <c r="Z25" s="57"/>
      <c r="AA25" s="58">
        <f t="shared" ref="AA25:AA32" si="17">U25-W25</f>
        <v>8656.1218800000206</v>
      </c>
      <c r="AB25" s="58">
        <f t="shared" si="14"/>
        <v>138493.698</v>
      </c>
      <c r="AC25" s="58">
        <v>5775</v>
      </c>
      <c r="AE25" s="8">
        <f t="shared" ref="AE25:AE32" si="18">SUM(AB25:AD25)-AA25</f>
        <v>135612.57611999998</v>
      </c>
      <c r="AF25" t="b">
        <f t="shared" ref="AF25:AF32" si="19">AE25=W25</f>
        <v>1</v>
      </c>
      <c r="AG25" s="59">
        <f t="shared" ref="AG25:AG32" si="20">SUM(AB25:AD25)</f>
        <v>144268.698</v>
      </c>
      <c r="AH25" t="b">
        <f t="shared" ref="AH25:AH33" si="21">AG25=U25</f>
        <v>1</v>
      </c>
      <c r="AI25" s="58">
        <f t="shared" ref="AI25:AI33" si="22">AB25/(U25-AD25)</f>
        <v>0.95997052666268601</v>
      </c>
      <c r="AJ25" s="58">
        <f t="shared" ref="AJ25:AJ32" si="23">AE25/U25</f>
        <v>0.93999999999999984</v>
      </c>
    </row>
    <row r="26" spans="2:36">
      <c r="D26" s="113" t="s">
        <v>11</v>
      </c>
      <c r="E26" s="114">
        <v>155861.43299999999</v>
      </c>
      <c r="F26" s="115">
        <v>23379.214949999998</v>
      </c>
      <c r="G26" s="116">
        <v>132482.21805</v>
      </c>
      <c r="H26" s="117">
        <v>71540.397746999995</v>
      </c>
      <c r="I26" s="117">
        <v>36432.609963750001</v>
      </c>
      <c r="J26" s="114">
        <v>14838.008421600001</v>
      </c>
      <c r="K26" s="107"/>
      <c r="L26" s="118" t="s">
        <v>11</v>
      </c>
      <c r="M26" s="109">
        <f t="shared" si="15"/>
        <v>148068.36134999999</v>
      </c>
      <c r="N26" s="109">
        <f t="shared" si="12"/>
        <v>22210.254202499997</v>
      </c>
      <c r="O26" s="109">
        <f t="shared" si="12"/>
        <v>125858.10714749999</v>
      </c>
      <c r="P26" s="109">
        <f t="shared" si="12"/>
        <v>67963.377859649991</v>
      </c>
      <c r="Q26" s="109">
        <f t="shared" si="12"/>
        <v>34610.979465562501</v>
      </c>
      <c r="R26" s="109">
        <f t="shared" si="12"/>
        <v>14096.10800052</v>
      </c>
      <c r="S26" s="107"/>
      <c r="T26" s="119" t="s">
        <v>11</v>
      </c>
      <c r="U26" s="120">
        <v>155861.43299999999</v>
      </c>
      <c r="V26" s="120">
        <v>148439.46</v>
      </c>
      <c r="W26" s="121">
        <f>U26*0.94</f>
        <v>146509.74701999998</v>
      </c>
      <c r="X26" s="56">
        <f t="shared" si="16"/>
        <v>0.95238095238095244</v>
      </c>
      <c r="Y26" s="57">
        <f t="shared" si="13"/>
        <v>6.000000000000006E-2</v>
      </c>
      <c r="Z26" s="57"/>
      <c r="AA26" s="58">
        <f t="shared" si="17"/>
        <v>9351.6859800000093</v>
      </c>
      <c r="AB26" s="58">
        <f t="shared" si="14"/>
        <v>144276.98299999998</v>
      </c>
      <c r="AC26" s="58">
        <v>8400</v>
      </c>
      <c r="AD26" s="7">
        <v>3184.45</v>
      </c>
      <c r="AE26" s="8">
        <f t="shared" si="18"/>
        <v>146509.74701999998</v>
      </c>
      <c r="AF26" t="b">
        <f t="shared" si="19"/>
        <v>1</v>
      </c>
      <c r="AG26" s="59">
        <f t="shared" si="20"/>
        <v>155861.43299999999</v>
      </c>
      <c r="AH26" t="b">
        <f t="shared" si="21"/>
        <v>1</v>
      </c>
      <c r="AI26" s="58">
        <f t="shared" si="22"/>
        <v>0.9449818837460261</v>
      </c>
      <c r="AJ26" s="58">
        <f t="shared" si="23"/>
        <v>0.94</v>
      </c>
    </row>
    <row r="27" spans="2:36">
      <c r="D27" s="113" t="s">
        <v>13</v>
      </c>
      <c r="E27" s="114">
        <v>156683.6355</v>
      </c>
      <c r="F27" s="115">
        <v>23502.545324999999</v>
      </c>
      <c r="G27" s="116">
        <v>133181.09017500002</v>
      </c>
      <c r="H27" s="117">
        <v>71917.788694500021</v>
      </c>
      <c r="I27" s="117">
        <v>36624.799798125008</v>
      </c>
      <c r="J27" s="114">
        <v>14916.282099600005</v>
      </c>
      <c r="K27" s="107"/>
      <c r="L27" s="118" t="s">
        <v>13</v>
      </c>
      <c r="M27" s="109">
        <f t="shared" si="15"/>
        <v>148849.453725</v>
      </c>
      <c r="N27" s="109">
        <f t="shared" si="12"/>
        <v>22327.418058749998</v>
      </c>
      <c r="O27" s="109">
        <f t="shared" si="12"/>
        <v>126522.03566625001</v>
      </c>
      <c r="P27" s="109">
        <f t="shared" si="12"/>
        <v>68321.899259775018</v>
      </c>
      <c r="Q27" s="109">
        <f t="shared" si="12"/>
        <v>34793.559808218757</v>
      </c>
      <c r="R27" s="109">
        <f t="shared" si="12"/>
        <v>14170.467994620003</v>
      </c>
      <c r="S27" s="107"/>
      <c r="T27" s="119" t="s">
        <v>13</v>
      </c>
      <c r="U27" s="120">
        <v>156683.6355</v>
      </c>
      <c r="V27" s="120">
        <v>149222.51</v>
      </c>
      <c r="W27" s="121">
        <f>U27*0.94</f>
        <v>147282.61736999999</v>
      </c>
      <c r="X27" s="56">
        <f t="shared" si="16"/>
        <v>0.95238095238095244</v>
      </c>
      <c r="Y27" s="57">
        <f t="shared" si="13"/>
        <v>6.0000000000000067E-2</v>
      </c>
      <c r="Z27" s="57"/>
      <c r="AA27" s="58">
        <f t="shared" si="17"/>
        <v>9401.0181300000113</v>
      </c>
      <c r="AB27" s="58">
        <f t="shared" si="14"/>
        <v>145133.6355</v>
      </c>
      <c r="AC27" s="58">
        <v>11550</v>
      </c>
      <c r="AE27" s="8">
        <f t="shared" si="18"/>
        <v>147282.61736999999</v>
      </c>
      <c r="AF27" t="b">
        <f t="shared" si="19"/>
        <v>1</v>
      </c>
      <c r="AG27" s="59">
        <f t="shared" si="20"/>
        <v>156683.6355</v>
      </c>
      <c r="AH27" t="b">
        <f t="shared" si="21"/>
        <v>1</v>
      </c>
      <c r="AI27" s="58">
        <f t="shared" si="22"/>
        <v>0.92628457998729552</v>
      </c>
      <c r="AJ27" s="58">
        <f t="shared" si="23"/>
        <v>0.94</v>
      </c>
    </row>
    <row r="28" spans="2:36">
      <c r="D28" s="113" t="s">
        <v>15</v>
      </c>
      <c r="E28" s="114">
        <v>166431.65700000001</v>
      </c>
      <c r="F28" s="115">
        <v>24964.74855</v>
      </c>
      <c r="G28" s="116">
        <v>141466.90845000002</v>
      </c>
      <c r="H28" s="117">
        <v>76392.130563000013</v>
      </c>
      <c r="I28" s="117">
        <v>38903.399823750005</v>
      </c>
      <c r="J28" s="114">
        <v>15844.293746400002</v>
      </c>
      <c r="K28" s="107"/>
      <c r="L28" s="118" t="s">
        <v>15</v>
      </c>
      <c r="M28" s="109">
        <f t="shared" si="15"/>
        <v>158110.07415</v>
      </c>
      <c r="N28" s="109">
        <f t="shared" si="12"/>
        <v>23716.5111225</v>
      </c>
      <c r="O28" s="109">
        <f t="shared" si="12"/>
        <v>134393.5630275</v>
      </c>
      <c r="P28" s="109">
        <f t="shared" si="12"/>
        <v>72572.524034850008</v>
      </c>
      <c r="Q28" s="109">
        <f t="shared" si="12"/>
        <v>36958.229832562502</v>
      </c>
      <c r="R28" s="109">
        <f t="shared" si="12"/>
        <v>15052.079059080002</v>
      </c>
      <c r="S28" s="107"/>
      <c r="T28" s="119" t="s">
        <v>15</v>
      </c>
      <c r="U28" s="120">
        <v>166431.65700000001</v>
      </c>
      <c r="V28" s="120">
        <v>158506.34</v>
      </c>
      <c r="W28" s="121">
        <f>U28*0.94</f>
        <v>156445.75758</v>
      </c>
      <c r="X28" s="56">
        <f t="shared" si="16"/>
        <v>0.95238095238095233</v>
      </c>
      <c r="Y28" s="57">
        <f t="shared" si="13"/>
        <v>6.0000000000000005E-2</v>
      </c>
      <c r="Z28" s="57"/>
      <c r="AA28" s="58">
        <f t="shared" si="17"/>
        <v>9985.8994200000016</v>
      </c>
      <c r="AB28" s="58">
        <f t="shared" si="14"/>
        <v>150681.65700000001</v>
      </c>
      <c r="AC28" s="58">
        <v>15750</v>
      </c>
      <c r="AE28" s="8">
        <f t="shared" si="18"/>
        <v>156445.75758</v>
      </c>
      <c r="AF28" t="b">
        <f t="shared" si="19"/>
        <v>1</v>
      </c>
      <c r="AG28" s="59">
        <f t="shared" si="20"/>
        <v>166431.65700000001</v>
      </c>
      <c r="AH28" t="b">
        <f t="shared" si="21"/>
        <v>1</v>
      </c>
      <c r="AI28" s="58">
        <f t="shared" si="22"/>
        <v>0.90536656136278204</v>
      </c>
      <c r="AJ28" s="58">
        <f t="shared" si="23"/>
        <v>0.94</v>
      </c>
    </row>
    <row r="29" spans="2:36">
      <c r="D29" s="113" t="s">
        <v>17</v>
      </c>
      <c r="E29" s="114">
        <v>169554.87149999998</v>
      </c>
      <c r="F29" s="115">
        <v>25433.230724999998</v>
      </c>
      <c r="G29" s="116">
        <v>144121.64077499998</v>
      </c>
      <c r="H29" s="117">
        <v>77825.686018499997</v>
      </c>
      <c r="I29" s="117">
        <v>39633.451213124994</v>
      </c>
      <c r="J29" s="114">
        <v>16141.623766799999</v>
      </c>
      <c r="K29" s="107"/>
      <c r="L29" s="118" t="s">
        <v>17</v>
      </c>
      <c r="M29" s="109">
        <f t="shared" si="15"/>
        <v>161077.12792499998</v>
      </c>
      <c r="N29" s="109">
        <f t="shared" si="12"/>
        <v>24161.569188749996</v>
      </c>
      <c r="O29" s="109">
        <f t="shared" si="12"/>
        <v>136915.55873624998</v>
      </c>
      <c r="P29" s="109">
        <f t="shared" si="12"/>
        <v>73934.40171757499</v>
      </c>
      <c r="Q29" s="109">
        <f t="shared" si="12"/>
        <v>37651.77865246874</v>
      </c>
      <c r="R29" s="109">
        <f t="shared" si="12"/>
        <v>15334.542578459999</v>
      </c>
      <c r="S29" s="107"/>
      <c r="T29" s="119" t="s">
        <v>17</v>
      </c>
      <c r="U29" s="120">
        <v>169554.87149999998</v>
      </c>
      <c r="V29" s="120">
        <v>161480.82999999999</v>
      </c>
      <c r="W29" s="121">
        <f>U29*0.94</f>
        <v>159381.57920999997</v>
      </c>
      <c r="X29" s="56">
        <f t="shared" si="16"/>
        <v>0.95238095238095244</v>
      </c>
      <c r="Y29" s="57">
        <f t="shared" si="13"/>
        <v>6.0000000000000081E-2</v>
      </c>
      <c r="Z29" s="57"/>
      <c r="AA29" s="58">
        <f t="shared" si="17"/>
        <v>10173.292290000012</v>
      </c>
      <c r="AB29" s="58">
        <f t="shared" si="14"/>
        <v>150620.42149999997</v>
      </c>
      <c r="AC29" s="58">
        <v>15750</v>
      </c>
      <c r="AD29" s="7">
        <v>3184.45</v>
      </c>
      <c r="AE29" s="8">
        <f t="shared" si="18"/>
        <v>159381.57920999997</v>
      </c>
      <c r="AF29" t="b">
        <f t="shared" si="19"/>
        <v>1</v>
      </c>
      <c r="AG29" s="59">
        <f t="shared" si="20"/>
        <v>169554.87149999998</v>
      </c>
      <c r="AH29" t="b">
        <f t="shared" si="21"/>
        <v>1</v>
      </c>
      <c r="AI29" s="58">
        <f t="shared" si="22"/>
        <v>0.90533172989526867</v>
      </c>
      <c r="AJ29" s="58">
        <f t="shared" si="23"/>
        <v>0.94</v>
      </c>
    </row>
    <row r="30" spans="2:36">
      <c r="D30" s="122" t="s">
        <v>19</v>
      </c>
      <c r="E30" s="114">
        <v>172098.19200000001</v>
      </c>
      <c r="F30" s="115">
        <v>25814.728800000001</v>
      </c>
      <c r="G30" s="116">
        <v>146283.4632</v>
      </c>
      <c r="H30" s="117">
        <v>78993.070128000007</v>
      </c>
      <c r="I30" s="117">
        <v>40227.952380000002</v>
      </c>
      <c r="J30" s="114">
        <v>16383.747878400001</v>
      </c>
      <c r="K30" s="107"/>
      <c r="L30" s="123" t="s">
        <v>19</v>
      </c>
      <c r="M30" s="109">
        <f t="shared" si="15"/>
        <v>163493.2824</v>
      </c>
      <c r="N30" s="109">
        <f t="shared" si="12"/>
        <v>24523.99236</v>
      </c>
      <c r="O30" s="109">
        <f t="shared" si="12"/>
        <v>138969.29003999999</v>
      </c>
      <c r="P30" s="109">
        <f t="shared" si="12"/>
        <v>75043.416621600001</v>
      </c>
      <c r="Q30" s="109">
        <f t="shared" si="12"/>
        <v>38216.554760999999</v>
      </c>
      <c r="R30" s="109">
        <f t="shared" si="12"/>
        <v>15564.56048448</v>
      </c>
      <c r="S30" s="107"/>
      <c r="T30" s="124" t="s">
        <v>19</v>
      </c>
      <c r="U30" s="120">
        <v>172098.19200000001</v>
      </c>
      <c r="V30" s="120">
        <v>163903.04000000001</v>
      </c>
      <c r="W30" s="121">
        <f>U30*0.94</f>
        <v>161772.30048000001</v>
      </c>
      <c r="X30" s="56">
        <f t="shared" si="16"/>
        <v>0.95238095238095233</v>
      </c>
      <c r="Y30" s="57">
        <f t="shared" si="13"/>
        <v>6.0000000000000026E-2</v>
      </c>
      <c r="Z30" s="57"/>
      <c r="AA30" s="58">
        <f t="shared" si="17"/>
        <v>10325.891520000005</v>
      </c>
      <c r="AB30" s="58">
        <f t="shared" si="14"/>
        <v>155298.19200000001</v>
      </c>
      <c r="AC30" s="58">
        <v>16800</v>
      </c>
      <c r="AE30" s="8">
        <f t="shared" si="18"/>
        <v>161772.30048000001</v>
      </c>
      <c r="AF30" t="b">
        <f t="shared" si="19"/>
        <v>1</v>
      </c>
      <c r="AG30" s="59">
        <f t="shared" si="20"/>
        <v>172098.19200000001</v>
      </c>
      <c r="AH30" t="b">
        <f t="shared" si="21"/>
        <v>1</v>
      </c>
      <c r="AI30" s="58">
        <f t="shared" si="22"/>
        <v>0.90238131031614788</v>
      </c>
      <c r="AJ30" s="58">
        <f t="shared" si="23"/>
        <v>0.94</v>
      </c>
    </row>
    <row r="31" spans="2:36">
      <c r="D31" s="122" t="s">
        <v>21</v>
      </c>
      <c r="E31" s="114">
        <v>173819.1735</v>
      </c>
      <c r="F31" s="115">
        <v>26072.876025000001</v>
      </c>
      <c r="G31" s="116">
        <v>147746.297475</v>
      </c>
      <c r="H31" s="117">
        <v>79783.000636500001</v>
      </c>
      <c r="I31" s="117">
        <v>40630.231805625001</v>
      </c>
      <c r="J31" s="114">
        <v>16547.585317200002</v>
      </c>
      <c r="K31" s="107"/>
      <c r="L31" s="123" t="s">
        <v>21</v>
      </c>
      <c r="M31" s="109">
        <f t="shared" si="15"/>
        <v>165128.214825</v>
      </c>
      <c r="N31" s="109">
        <f t="shared" si="12"/>
        <v>24769.232223750001</v>
      </c>
      <c r="O31" s="109">
        <f t="shared" si="12"/>
        <v>140358.98260125</v>
      </c>
      <c r="P31" s="109">
        <f t="shared" si="12"/>
        <v>75793.850604674997</v>
      </c>
      <c r="Q31" s="109">
        <f t="shared" si="12"/>
        <v>38598.720215343747</v>
      </c>
      <c r="R31" s="109">
        <f t="shared" si="12"/>
        <v>15720.206051340001</v>
      </c>
      <c r="S31" s="107"/>
      <c r="T31" s="124" t="s">
        <v>21</v>
      </c>
      <c r="U31" s="120">
        <v>173819.1735</v>
      </c>
      <c r="V31" s="120">
        <v>165542.07</v>
      </c>
      <c r="W31" s="121">
        <f>U31*0.94</f>
        <v>163390.02309</v>
      </c>
      <c r="X31" s="56">
        <f t="shared" si="16"/>
        <v>0.95238095238095244</v>
      </c>
      <c r="Y31" s="57">
        <f t="shared" si="13"/>
        <v>6.0000000000000012E-2</v>
      </c>
      <c r="Z31" s="57"/>
      <c r="AA31" s="58">
        <f t="shared" si="17"/>
        <v>10429.150410000002</v>
      </c>
      <c r="AB31" s="58">
        <f t="shared" si="14"/>
        <v>157019.1735</v>
      </c>
      <c r="AC31" s="58">
        <v>16800</v>
      </c>
      <c r="AE31" s="8">
        <f t="shared" si="18"/>
        <v>163390.02309</v>
      </c>
      <c r="AF31" t="b">
        <f t="shared" si="19"/>
        <v>1</v>
      </c>
      <c r="AG31" s="59">
        <f t="shared" si="20"/>
        <v>173819.1735</v>
      </c>
      <c r="AH31" t="b">
        <f t="shared" si="21"/>
        <v>1</v>
      </c>
      <c r="AI31" s="58">
        <f t="shared" si="22"/>
        <v>0.90334783176264499</v>
      </c>
      <c r="AJ31" s="58">
        <f t="shared" si="23"/>
        <v>0.94</v>
      </c>
    </row>
    <row r="32" spans="2:36">
      <c r="D32" s="125" t="s">
        <v>23</v>
      </c>
      <c r="E32" s="126">
        <v>177003.62400000001</v>
      </c>
      <c r="F32" s="127">
        <v>26550.543600000001</v>
      </c>
      <c r="G32" s="128">
        <v>150453.08040000001</v>
      </c>
      <c r="H32" s="129">
        <v>81244.66341600001</v>
      </c>
      <c r="I32" s="129">
        <v>41374.597110000002</v>
      </c>
      <c r="J32" s="126">
        <v>16850.745004800003</v>
      </c>
      <c r="K32" s="107"/>
      <c r="L32" s="130" t="s">
        <v>23</v>
      </c>
      <c r="M32" s="109">
        <f t="shared" si="15"/>
        <v>168153.44279999999</v>
      </c>
      <c r="N32" s="109">
        <f t="shared" si="12"/>
        <v>25223.01642</v>
      </c>
      <c r="O32" s="109">
        <f t="shared" si="12"/>
        <v>142930.42637999999</v>
      </c>
      <c r="P32" s="109">
        <f t="shared" si="12"/>
        <v>77182.430245200012</v>
      </c>
      <c r="Q32" s="109">
        <f t="shared" si="12"/>
        <v>39305.867254500001</v>
      </c>
      <c r="R32" s="109">
        <f t="shared" si="12"/>
        <v>16008.207754560002</v>
      </c>
      <c r="S32" s="107"/>
      <c r="T32" s="131" t="s">
        <v>23</v>
      </c>
      <c r="U32" s="132">
        <v>177003.62400000001</v>
      </c>
      <c r="V32" s="132">
        <v>168574.88</v>
      </c>
      <c r="W32" s="133">
        <f>U32*0.94</f>
        <v>166383.40656</v>
      </c>
      <c r="X32" s="56">
        <f t="shared" si="16"/>
        <v>0.95238095238095233</v>
      </c>
      <c r="Y32" s="57">
        <f t="shared" si="13"/>
        <v>6.0000000000000039E-2</v>
      </c>
      <c r="Z32" s="57"/>
      <c r="AA32" s="58">
        <f t="shared" si="17"/>
        <v>10620.217440000008</v>
      </c>
      <c r="AB32" s="58">
        <f t="shared" si="14"/>
        <v>157019.174</v>
      </c>
      <c r="AC32" s="58">
        <v>16800</v>
      </c>
      <c r="AD32" s="7">
        <v>3184.45</v>
      </c>
      <c r="AE32" s="8">
        <f t="shared" si="18"/>
        <v>166383.40656</v>
      </c>
      <c r="AF32" t="b">
        <f t="shared" si="19"/>
        <v>1</v>
      </c>
      <c r="AG32" s="59">
        <f t="shared" si="20"/>
        <v>177003.62400000001</v>
      </c>
      <c r="AH32" t="b">
        <f t="shared" si="21"/>
        <v>1</v>
      </c>
      <c r="AI32" s="58">
        <f t="shared" si="22"/>
        <v>0.90334783204067004</v>
      </c>
      <c r="AJ32" s="58">
        <f t="shared" si="23"/>
        <v>0.94</v>
      </c>
    </row>
    <row r="33" spans="2:36">
      <c r="D33" s="134" t="s">
        <v>55</v>
      </c>
      <c r="E33" s="99"/>
      <c r="F33" s="99"/>
      <c r="G33" s="99"/>
      <c r="H33" s="99"/>
      <c r="I33" s="99"/>
      <c r="J33" s="99"/>
      <c r="K33" s="99"/>
      <c r="L33" s="135" t="s">
        <v>55</v>
      </c>
      <c r="S33" s="99"/>
      <c r="T33" s="3"/>
      <c r="U33" s="3"/>
      <c r="V33" s="3"/>
      <c r="W33" s="6"/>
    </row>
    <row r="34" spans="2:36">
      <c r="D34" s="134" t="s">
        <v>56</v>
      </c>
      <c r="E34" s="99"/>
      <c r="F34" s="99"/>
      <c r="G34" s="99"/>
      <c r="H34" s="99"/>
      <c r="I34" s="99"/>
      <c r="J34" s="99"/>
      <c r="K34" s="99"/>
      <c r="L34" s="135" t="s">
        <v>56</v>
      </c>
      <c r="S34" s="99"/>
      <c r="T34" s="3"/>
      <c r="U34" s="3"/>
      <c r="V34" s="3"/>
      <c r="W34" s="6"/>
    </row>
    <row r="35" spans="2:36" ht="27.95" customHeight="1">
      <c r="D35" s="369" t="s">
        <v>57</v>
      </c>
      <c r="E35" s="369"/>
      <c r="F35" s="369"/>
      <c r="G35" s="369"/>
      <c r="H35" s="369"/>
      <c r="I35" s="369"/>
      <c r="J35" s="369"/>
      <c r="K35" s="137"/>
      <c r="L35" s="370" t="s">
        <v>57</v>
      </c>
      <c r="M35" s="370"/>
      <c r="N35" s="370"/>
      <c r="O35" s="370"/>
      <c r="P35" s="370"/>
      <c r="Q35" s="370"/>
      <c r="R35" s="370"/>
      <c r="S35" s="137"/>
      <c r="T35" s="3"/>
      <c r="U35" s="3"/>
      <c r="V35" s="3"/>
      <c r="W35" s="6"/>
    </row>
    <row r="36" spans="2:36">
      <c r="D36" s="37"/>
      <c r="E36" s="37"/>
      <c r="F36" s="37"/>
      <c r="G36" s="37"/>
      <c r="H36" s="37"/>
      <c r="I36" s="37"/>
      <c r="J36" s="37"/>
      <c r="K36" s="37"/>
      <c r="L36" s="5"/>
      <c r="M36" s="5"/>
      <c r="N36" s="5"/>
      <c r="O36" s="5"/>
      <c r="P36" s="5"/>
      <c r="Q36" s="5"/>
      <c r="R36" s="5"/>
      <c r="S36" s="37"/>
      <c r="T36" s="3"/>
      <c r="U36" s="3"/>
      <c r="V36" s="138"/>
      <c r="W36" s="14"/>
    </row>
    <row r="37" spans="2:36" ht="18.75" customHeight="1">
      <c r="B37" s="1" t="s">
        <v>26</v>
      </c>
      <c r="D37" s="357" t="s">
        <v>1</v>
      </c>
      <c r="E37" s="357" t="s">
        <v>3</v>
      </c>
      <c r="F37" s="359" t="s">
        <v>38</v>
      </c>
      <c r="G37" s="360"/>
      <c r="H37" s="360"/>
      <c r="I37" s="360"/>
      <c r="J37" s="360"/>
      <c r="K37" s="13"/>
      <c r="L37" s="361" t="s">
        <v>1</v>
      </c>
      <c r="M37" s="361" t="s">
        <v>3</v>
      </c>
      <c r="N37" s="363" t="s">
        <v>38</v>
      </c>
      <c r="O37" s="364"/>
      <c r="P37" s="364"/>
      <c r="Q37" s="364"/>
      <c r="R37" s="364"/>
      <c r="S37" s="13"/>
      <c r="T37" s="14"/>
      <c r="U37" s="15"/>
      <c r="V37" s="3"/>
      <c r="W37" s="6"/>
    </row>
    <row r="38" spans="2:36" ht="143.25">
      <c r="D38" s="358"/>
      <c r="E38" s="367"/>
      <c r="F38" s="16" t="s">
        <v>39</v>
      </c>
      <c r="G38" s="17" t="s">
        <v>40</v>
      </c>
      <c r="H38" s="18" t="s">
        <v>41</v>
      </c>
      <c r="I38" s="18" t="s">
        <v>42</v>
      </c>
      <c r="J38" s="19" t="s">
        <v>43</v>
      </c>
      <c r="K38" s="20"/>
      <c r="L38" s="362"/>
      <c r="M38" s="368"/>
      <c r="N38" s="21" t="s">
        <v>39</v>
      </c>
      <c r="O38" s="22" t="s">
        <v>40</v>
      </c>
      <c r="P38" s="23" t="s">
        <v>41</v>
      </c>
      <c r="Q38" s="23" t="s">
        <v>42</v>
      </c>
      <c r="R38" s="24" t="s">
        <v>43</v>
      </c>
      <c r="S38" s="20"/>
      <c r="T38" s="25" t="s">
        <v>1</v>
      </c>
      <c r="U38" s="26" t="s">
        <v>44</v>
      </c>
      <c r="V38" s="26" t="s">
        <v>45</v>
      </c>
      <c r="W38" s="26" t="s">
        <v>46</v>
      </c>
      <c r="AB38" s="28" t="s">
        <v>48</v>
      </c>
      <c r="AC38" s="29" t="s">
        <v>49</v>
      </c>
      <c r="AD38" s="30" t="s">
        <v>50</v>
      </c>
      <c r="AE38" s="31"/>
      <c r="AI38" s="28"/>
    </row>
    <row r="39" spans="2:36">
      <c r="D39" s="33"/>
      <c r="E39" s="139"/>
      <c r="F39" s="139"/>
      <c r="G39" s="139"/>
      <c r="H39" s="139"/>
      <c r="I39" s="139"/>
      <c r="J39" s="139"/>
      <c r="K39" s="37"/>
      <c r="L39" s="38"/>
      <c r="M39" s="140"/>
      <c r="N39" s="140"/>
      <c r="O39" s="140"/>
      <c r="P39" s="140"/>
      <c r="Q39" s="140"/>
      <c r="R39" s="140"/>
      <c r="S39" s="37"/>
      <c r="T39" s="3"/>
      <c r="U39" s="141"/>
      <c r="V39" s="3"/>
      <c r="W39" s="6"/>
      <c r="Y39" s="27"/>
      <c r="Z39" s="27"/>
      <c r="AA39" s="27"/>
    </row>
    <row r="40" spans="2:36">
      <c r="D40" s="46" t="s">
        <v>7</v>
      </c>
      <c r="E40" s="142">
        <v>134294.45000000001</v>
      </c>
      <c r="F40" s="143">
        <v>20144.169999999998</v>
      </c>
      <c r="G40" s="144">
        <v>114150.29</v>
      </c>
      <c r="H40" s="144">
        <v>61641.15</v>
      </c>
      <c r="I40" s="144">
        <v>31391.33</v>
      </c>
      <c r="J40" s="142">
        <v>12784.83</v>
      </c>
      <c r="K40" s="145"/>
      <c r="L40" s="146" t="s">
        <v>7</v>
      </c>
      <c r="M40" s="109">
        <f>E40*0.95</f>
        <v>127579.72750000001</v>
      </c>
      <c r="N40" s="109">
        <f t="shared" ref="N40:R48" si="24">F40*0.95</f>
        <v>19136.961499999998</v>
      </c>
      <c r="O40" s="109">
        <f t="shared" si="24"/>
        <v>108442.77549999999</v>
      </c>
      <c r="P40" s="109">
        <f t="shared" si="24"/>
        <v>58559.092499999999</v>
      </c>
      <c r="Q40" s="109">
        <f t="shared" si="24"/>
        <v>29821.763500000001</v>
      </c>
      <c r="R40" s="109">
        <f t="shared" si="24"/>
        <v>12145.5885</v>
      </c>
      <c r="S40" s="145"/>
      <c r="T40" s="54" t="s">
        <v>7</v>
      </c>
      <c r="U40" s="48">
        <v>134294.45000000001</v>
      </c>
      <c r="V40" s="50">
        <v>127899.48</v>
      </c>
      <c r="W40" s="55">
        <v>126236.79</v>
      </c>
      <c r="X40" s="56">
        <f>V40/U40</f>
        <v>0.95238098074790123</v>
      </c>
      <c r="Y40" s="57">
        <f t="shared" ref="Y40:Y48" si="25">AA40/U40</f>
        <v>5.9999947875731402E-2</v>
      </c>
      <c r="Z40" s="57"/>
      <c r="AA40" s="58">
        <f t="shared" ref="AA40:AA48" si="26">U40-W40</f>
        <v>8057.660000000018</v>
      </c>
      <c r="AB40" s="58">
        <f t="shared" ref="AB40:AB48" si="27">U40-AC40-AD40</f>
        <v>128519.45000000001</v>
      </c>
      <c r="AC40" s="58">
        <v>5775</v>
      </c>
      <c r="AE40" s="8">
        <f>SUM(AB40:AD40)-AA40</f>
        <v>126236.79</v>
      </c>
      <c r="AF40" t="b">
        <f>AE40=W40</f>
        <v>1</v>
      </c>
      <c r="AG40" s="59">
        <f>SUM(AB40:AD40)</f>
        <v>134294.45000000001</v>
      </c>
      <c r="AH40" t="b">
        <f t="shared" ref="AH40:AH48" si="28">AG40=U40</f>
        <v>1</v>
      </c>
      <c r="AI40" s="58">
        <f t="shared" ref="AI40:AI48" si="29">AB40/(U40-AD40)</f>
        <v>0.95699747830234239</v>
      </c>
      <c r="AJ40" s="58">
        <f>AE40/U40</f>
        <v>0.94000005212426863</v>
      </c>
    </row>
    <row r="41" spans="2:36">
      <c r="D41" s="60" t="s">
        <v>54</v>
      </c>
      <c r="E41" s="147">
        <v>141434.63</v>
      </c>
      <c r="F41" s="148">
        <v>21215.19</v>
      </c>
      <c r="G41" s="149">
        <v>120219.44</v>
      </c>
      <c r="H41" s="149">
        <v>64918.5</v>
      </c>
      <c r="I41" s="149">
        <v>33060.35</v>
      </c>
      <c r="J41" s="147">
        <v>13464.58</v>
      </c>
      <c r="K41" s="145"/>
      <c r="L41" s="150" t="s">
        <v>54</v>
      </c>
      <c r="M41" s="109">
        <f t="shared" ref="M41:M48" si="30">E41*0.95</f>
        <v>134362.89850000001</v>
      </c>
      <c r="N41" s="109">
        <f t="shared" si="24"/>
        <v>20154.430499999999</v>
      </c>
      <c r="O41" s="109">
        <f t="shared" si="24"/>
        <v>114208.46799999999</v>
      </c>
      <c r="P41" s="109">
        <f t="shared" si="24"/>
        <v>61672.574999999997</v>
      </c>
      <c r="Q41" s="109">
        <f t="shared" si="24"/>
        <v>31407.332499999997</v>
      </c>
      <c r="R41" s="109">
        <f t="shared" si="24"/>
        <v>12791.350999999999</v>
      </c>
      <c r="S41" s="145"/>
      <c r="T41" s="151" t="s">
        <v>54</v>
      </c>
      <c r="U41" s="62">
        <v>141434.63</v>
      </c>
      <c r="V41" s="64">
        <v>134699.65</v>
      </c>
      <c r="W41" s="67">
        <v>132948.54999999999</v>
      </c>
      <c r="X41" s="56">
        <f t="shared" ref="X41:X48" si="31">V41/U41</f>
        <v>0.95238096921524795</v>
      </c>
      <c r="Y41" s="57">
        <f t="shared" si="25"/>
        <v>6.0000015554889326E-2</v>
      </c>
      <c r="Z41" s="57"/>
      <c r="AA41" s="58">
        <f t="shared" si="26"/>
        <v>8486.0800000000163</v>
      </c>
      <c r="AB41" s="58">
        <f t="shared" si="27"/>
        <v>135659.63</v>
      </c>
      <c r="AC41" s="58">
        <v>5775</v>
      </c>
      <c r="AE41" s="8">
        <f t="shared" ref="AE41:AE48" si="32">SUM(AB41:AD41)-AA41</f>
        <v>132948.54999999999</v>
      </c>
      <c r="AF41" t="b">
        <f t="shared" ref="AF41:AF48" si="33">AE41=W41</f>
        <v>1</v>
      </c>
      <c r="AG41" s="59">
        <f t="shared" ref="AG41:AG48" si="34">SUM(AB41:AD41)</f>
        <v>141434.63</v>
      </c>
      <c r="AH41" t="b">
        <f t="shared" si="28"/>
        <v>1</v>
      </c>
      <c r="AI41" s="58">
        <f t="shared" si="29"/>
        <v>0.9591684158257423</v>
      </c>
      <c r="AJ41" s="58">
        <f t="shared" ref="AJ41:AJ48" si="35">AE41/U41</f>
        <v>0.93999998444511068</v>
      </c>
    </row>
    <row r="42" spans="2:36">
      <c r="D42" s="60" t="s">
        <v>11</v>
      </c>
      <c r="E42" s="147">
        <v>152782.23000000001</v>
      </c>
      <c r="F42" s="148">
        <v>22917.34</v>
      </c>
      <c r="G42" s="149">
        <v>129864.9</v>
      </c>
      <c r="H42" s="149">
        <v>70127.05</v>
      </c>
      <c r="I42" s="149">
        <v>35712.85</v>
      </c>
      <c r="J42" s="147">
        <v>14544.87</v>
      </c>
      <c r="K42" s="145"/>
      <c r="L42" s="150" t="s">
        <v>11</v>
      </c>
      <c r="M42" s="109">
        <f t="shared" si="30"/>
        <v>145143.11850000001</v>
      </c>
      <c r="N42" s="109">
        <f t="shared" si="24"/>
        <v>21771.472999999998</v>
      </c>
      <c r="O42" s="109">
        <f t="shared" si="24"/>
        <v>123371.65499999998</v>
      </c>
      <c r="P42" s="109">
        <f t="shared" si="24"/>
        <v>66620.697499999995</v>
      </c>
      <c r="Q42" s="109">
        <f t="shared" si="24"/>
        <v>33927.207499999997</v>
      </c>
      <c r="R42" s="109">
        <f t="shared" si="24"/>
        <v>13817.6265</v>
      </c>
      <c r="S42" s="145"/>
      <c r="T42" s="151" t="s">
        <v>11</v>
      </c>
      <c r="U42" s="62">
        <v>152782.23000000001</v>
      </c>
      <c r="V42" s="64">
        <v>145506.89000000001</v>
      </c>
      <c r="W42" s="67">
        <v>143615.29999999999</v>
      </c>
      <c r="X42" s="56">
        <f t="shared" si="31"/>
        <v>0.95238098043208297</v>
      </c>
      <c r="Y42" s="57">
        <f t="shared" si="25"/>
        <v>5.9999975127997686E-2</v>
      </c>
      <c r="Z42" s="57"/>
      <c r="AA42" s="58">
        <f t="shared" si="26"/>
        <v>9166.9300000000221</v>
      </c>
      <c r="AB42" s="58">
        <f t="shared" si="27"/>
        <v>141197.78</v>
      </c>
      <c r="AC42" s="58">
        <v>8400</v>
      </c>
      <c r="AD42" s="7">
        <v>3184.45</v>
      </c>
      <c r="AE42" s="8">
        <f t="shared" si="32"/>
        <v>143615.29999999999</v>
      </c>
      <c r="AF42" t="b">
        <f t="shared" si="33"/>
        <v>1</v>
      </c>
      <c r="AG42" s="59">
        <f t="shared" si="34"/>
        <v>152782.23000000001</v>
      </c>
      <c r="AH42" t="b">
        <f t="shared" si="28"/>
        <v>1</v>
      </c>
      <c r="AI42" s="58">
        <f t="shared" si="29"/>
        <v>0.94384943412930322</v>
      </c>
      <c r="AJ42" s="58">
        <f t="shared" si="35"/>
        <v>0.94000002487200229</v>
      </c>
    </row>
    <row r="43" spans="2:36">
      <c r="D43" s="60" t="s">
        <v>13</v>
      </c>
      <c r="E43" s="147">
        <v>153400.59</v>
      </c>
      <c r="F43" s="148">
        <v>23010.09</v>
      </c>
      <c r="G43" s="149">
        <v>130390.5</v>
      </c>
      <c r="H43" s="149">
        <v>70410.87</v>
      </c>
      <c r="I43" s="149">
        <v>35857.39</v>
      </c>
      <c r="J43" s="147">
        <v>14603.74</v>
      </c>
      <c r="K43" s="145"/>
      <c r="L43" s="150" t="s">
        <v>13</v>
      </c>
      <c r="M43" s="109">
        <f t="shared" si="30"/>
        <v>145730.56049999999</v>
      </c>
      <c r="N43" s="109">
        <f t="shared" si="24"/>
        <v>21859.585499999997</v>
      </c>
      <c r="O43" s="109">
        <f t="shared" si="24"/>
        <v>123870.97499999999</v>
      </c>
      <c r="P43" s="109">
        <f t="shared" si="24"/>
        <v>66890.326499999996</v>
      </c>
      <c r="Q43" s="109">
        <f t="shared" si="24"/>
        <v>34064.520499999999</v>
      </c>
      <c r="R43" s="109">
        <f t="shared" si="24"/>
        <v>13873.553</v>
      </c>
      <c r="S43" s="145"/>
      <c r="T43" s="151" t="s">
        <v>13</v>
      </c>
      <c r="U43" s="62">
        <v>153400.59</v>
      </c>
      <c r="V43" s="64">
        <v>146095.79999999999</v>
      </c>
      <c r="W43" s="67">
        <v>144196.54999999999</v>
      </c>
      <c r="X43" s="56">
        <f t="shared" si="31"/>
        <v>0.95238095238095233</v>
      </c>
      <c r="Y43" s="57">
        <f t="shared" si="25"/>
        <v>6.0000029986846913E-2</v>
      </c>
      <c r="Z43" s="57"/>
      <c r="AA43" s="58">
        <f t="shared" si="26"/>
        <v>9204.0400000000081</v>
      </c>
      <c r="AB43" s="58">
        <f t="shared" si="27"/>
        <v>141850.59</v>
      </c>
      <c r="AC43" s="58">
        <v>11550</v>
      </c>
      <c r="AE43" s="8">
        <f t="shared" si="32"/>
        <v>144196.54999999999</v>
      </c>
      <c r="AF43" t="b">
        <f t="shared" si="33"/>
        <v>1</v>
      </c>
      <c r="AG43" s="59">
        <f t="shared" si="34"/>
        <v>153400.59</v>
      </c>
      <c r="AH43" t="b">
        <f t="shared" si="28"/>
        <v>1</v>
      </c>
      <c r="AI43" s="58">
        <f t="shared" si="29"/>
        <v>0.92470693887161715</v>
      </c>
      <c r="AJ43" s="58">
        <f t="shared" si="35"/>
        <v>0.93999997001315305</v>
      </c>
    </row>
    <row r="44" spans="2:36">
      <c r="D44" s="60" t="s">
        <v>15</v>
      </c>
      <c r="E44" s="147">
        <v>162796.07999999999</v>
      </c>
      <c r="F44" s="148">
        <v>24419.41</v>
      </c>
      <c r="G44" s="149">
        <v>138376.67000000001</v>
      </c>
      <c r="H44" s="149">
        <v>74723.399999999994</v>
      </c>
      <c r="I44" s="149">
        <v>38053.58</v>
      </c>
      <c r="J44" s="147">
        <v>15498.19</v>
      </c>
      <c r="K44" s="145"/>
      <c r="L44" s="150" t="s">
        <v>15</v>
      </c>
      <c r="M44" s="109">
        <f t="shared" si="30"/>
        <v>154656.27599999998</v>
      </c>
      <c r="N44" s="109">
        <f t="shared" si="24"/>
        <v>23198.4395</v>
      </c>
      <c r="O44" s="109">
        <f t="shared" si="24"/>
        <v>131457.8365</v>
      </c>
      <c r="P44" s="109">
        <f t="shared" si="24"/>
        <v>70987.23</v>
      </c>
      <c r="Q44" s="109">
        <f t="shared" si="24"/>
        <v>36150.900999999998</v>
      </c>
      <c r="R44" s="109">
        <f t="shared" si="24"/>
        <v>14723.280499999999</v>
      </c>
      <c r="S44" s="145"/>
      <c r="T44" s="151" t="s">
        <v>15</v>
      </c>
      <c r="U44" s="62">
        <v>162796.07999999999</v>
      </c>
      <c r="V44" s="64">
        <v>155043.89000000001</v>
      </c>
      <c r="W44" s="67">
        <v>153028.32</v>
      </c>
      <c r="X44" s="56">
        <f t="shared" si="31"/>
        <v>0.95238097870661276</v>
      </c>
      <c r="Y44" s="57">
        <f t="shared" si="25"/>
        <v>5.9999970515260445E-2</v>
      </c>
      <c r="Z44" s="57"/>
      <c r="AA44" s="58">
        <f t="shared" si="26"/>
        <v>9767.7599999999802</v>
      </c>
      <c r="AB44" s="58">
        <f t="shared" si="27"/>
        <v>147046.07999999999</v>
      </c>
      <c r="AC44" s="58">
        <v>15750</v>
      </c>
      <c r="AE44" s="8">
        <f t="shared" si="32"/>
        <v>153028.32</v>
      </c>
      <c r="AF44" t="b">
        <f t="shared" si="33"/>
        <v>1</v>
      </c>
      <c r="AG44" s="59">
        <f t="shared" si="34"/>
        <v>162796.07999999999</v>
      </c>
      <c r="AH44" t="b">
        <f t="shared" si="28"/>
        <v>1</v>
      </c>
      <c r="AI44" s="58">
        <f t="shared" si="29"/>
        <v>0.90325319872566956</v>
      </c>
      <c r="AJ44" s="58">
        <f t="shared" si="35"/>
        <v>0.9400000294847396</v>
      </c>
    </row>
    <row r="45" spans="2:36">
      <c r="D45" s="60" t="s">
        <v>17</v>
      </c>
      <c r="E45" s="147">
        <v>165980.54</v>
      </c>
      <c r="F45" s="148">
        <v>24897.08</v>
      </c>
      <c r="G45" s="149">
        <v>141083.45000000001</v>
      </c>
      <c r="H45" s="149">
        <v>76185.070000000007</v>
      </c>
      <c r="I45" s="149">
        <v>38797.949999999997</v>
      </c>
      <c r="J45" s="147">
        <v>15801.35</v>
      </c>
      <c r="K45" s="145"/>
      <c r="L45" s="150" t="s">
        <v>17</v>
      </c>
      <c r="M45" s="109">
        <f t="shared" si="30"/>
        <v>157681.51300000001</v>
      </c>
      <c r="N45" s="109">
        <f t="shared" si="24"/>
        <v>23652.225999999999</v>
      </c>
      <c r="O45" s="109">
        <f t="shared" si="24"/>
        <v>134029.2775</v>
      </c>
      <c r="P45" s="109">
        <f t="shared" si="24"/>
        <v>72375.816500000001</v>
      </c>
      <c r="Q45" s="109">
        <f t="shared" si="24"/>
        <v>36858.052499999998</v>
      </c>
      <c r="R45" s="109">
        <f t="shared" si="24"/>
        <v>15011.282499999999</v>
      </c>
      <c r="S45" s="145"/>
      <c r="T45" s="151" t="s">
        <v>17</v>
      </c>
      <c r="U45" s="62">
        <v>165980.54</v>
      </c>
      <c r="V45" s="64">
        <v>158076.70000000001</v>
      </c>
      <c r="W45" s="67">
        <v>156021.70000000001</v>
      </c>
      <c r="X45" s="56">
        <f t="shared" si="31"/>
        <v>0.95238092369141591</v>
      </c>
      <c r="Y45" s="57">
        <f t="shared" si="25"/>
        <v>6.0000045788500239E-2</v>
      </c>
      <c r="Z45" s="57"/>
      <c r="AA45" s="58">
        <f t="shared" si="26"/>
        <v>9958.8399999999965</v>
      </c>
      <c r="AB45" s="58">
        <f t="shared" si="27"/>
        <v>147046.09</v>
      </c>
      <c r="AC45" s="58">
        <v>15750</v>
      </c>
      <c r="AD45" s="7">
        <v>3184.45</v>
      </c>
      <c r="AE45" s="8">
        <f t="shared" si="32"/>
        <v>156021.70000000001</v>
      </c>
      <c r="AF45" t="b">
        <f t="shared" si="33"/>
        <v>1</v>
      </c>
      <c r="AG45" s="59">
        <f t="shared" si="34"/>
        <v>165980.54</v>
      </c>
      <c r="AH45" t="b">
        <f t="shared" si="28"/>
        <v>1</v>
      </c>
      <c r="AI45" s="58">
        <f t="shared" si="29"/>
        <v>0.90325320466849046</v>
      </c>
      <c r="AJ45" s="58">
        <f t="shared" si="35"/>
        <v>0.93999995421149973</v>
      </c>
    </row>
    <row r="46" spans="2:36">
      <c r="D46" s="68" t="s">
        <v>19</v>
      </c>
      <c r="E46" s="147">
        <v>168470.24</v>
      </c>
      <c r="F46" s="148">
        <v>25270.54</v>
      </c>
      <c r="G46" s="149">
        <v>143199.71</v>
      </c>
      <c r="H46" s="149">
        <v>77327.839999999997</v>
      </c>
      <c r="I46" s="149">
        <v>39379.919999999998</v>
      </c>
      <c r="J46" s="147">
        <v>16038.37</v>
      </c>
      <c r="K46" s="145"/>
      <c r="L46" s="152" t="s">
        <v>19</v>
      </c>
      <c r="M46" s="109">
        <f t="shared" si="30"/>
        <v>160046.72799999997</v>
      </c>
      <c r="N46" s="109">
        <f t="shared" si="24"/>
        <v>24007.012999999999</v>
      </c>
      <c r="O46" s="109">
        <f t="shared" si="24"/>
        <v>136039.72449999998</v>
      </c>
      <c r="P46" s="109">
        <f t="shared" si="24"/>
        <v>73461.447999999989</v>
      </c>
      <c r="Q46" s="109">
        <f t="shared" si="24"/>
        <v>37410.923999999999</v>
      </c>
      <c r="R46" s="109">
        <f t="shared" si="24"/>
        <v>15236.451499999999</v>
      </c>
      <c r="S46" s="145"/>
      <c r="T46" s="153" t="s">
        <v>19</v>
      </c>
      <c r="U46" s="62">
        <v>168470.24</v>
      </c>
      <c r="V46" s="64">
        <v>160447.85</v>
      </c>
      <c r="W46" s="67">
        <v>158362.03</v>
      </c>
      <c r="X46" s="56">
        <f t="shared" si="31"/>
        <v>0.95238096651372972</v>
      </c>
      <c r="Y46" s="57">
        <f t="shared" si="25"/>
        <v>5.9999973882627532E-2</v>
      </c>
      <c r="Z46" s="57"/>
      <c r="AA46" s="58">
        <f t="shared" si="26"/>
        <v>10108.209999999992</v>
      </c>
      <c r="AB46" s="58">
        <f t="shared" si="27"/>
        <v>151670.24</v>
      </c>
      <c r="AC46" s="58">
        <v>16800</v>
      </c>
      <c r="AE46" s="8">
        <f t="shared" si="32"/>
        <v>158362.03</v>
      </c>
      <c r="AF46" t="b">
        <f t="shared" si="33"/>
        <v>1</v>
      </c>
      <c r="AG46" s="59">
        <f t="shared" si="34"/>
        <v>168470.24</v>
      </c>
      <c r="AH46" t="b">
        <f t="shared" si="28"/>
        <v>1</v>
      </c>
      <c r="AI46" s="58">
        <f t="shared" si="29"/>
        <v>0.90027912348198713</v>
      </c>
      <c r="AJ46" s="58">
        <f t="shared" si="35"/>
        <v>0.94000002611737243</v>
      </c>
    </row>
    <row r="47" spans="2:36">
      <c r="D47" s="68" t="s">
        <v>21</v>
      </c>
      <c r="E47" s="147">
        <v>170154.95</v>
      </c>
      <c r="F47" s="148">
        <v>25523.24</v>
      </c>
      <c r="G47" s="149">
        <v>144631.70000000001</v>
      </c>
      <c r="H47" s="149">
        <v>78101.119999999995</v>
      </c>
      <c r="I47" s="149">
        <v>39773.72</v>
      </c>
      <c r="J47" s="147">
        <v>16198.75</v>
      </c>
      <c r="K47" s="145"/>
      <c r="L47" s="152" t="s">
        <v>21</v>
      </c>
      <c r="M47" s="109">
        <f t="shared" si="30"/>
        <v>161647.20250000001</v>
      </c>
      <c r="N47" s="109">
        <f t="shared" si="24"/>
        <v>24247.078000000001</v>
      </c>
      <c r="O47" s="109">
        <f t="shared" si="24"/>
        <v>137400.11499999999</v>
      </c>
      <c r="P47" s="109">
        <f t="shared" si="24"/>
        <v>74196.063999999998</v>
      </c>
      <c r="Q47" s="109">
        <f t="shared" si="24"/>
        <v>37785.034</v>
      </c>
      <c r="R47" s="109">
        <f t="shared" si="24"/>
        <v>15388.8125</v>
      </c>
      <c r="S47" s="145"/>
      <c r="T47" s="153" t="s">
        <v>21</v>
      </c>
      <c r="U47" s="62">
        <v>170154.95</v>
      </c>
      <c r="V47" s="64">
        <v>162052.32999999999</v>
      </c>
      <c r="W47" s="67">
        <v>159945.65</v>
      </c>
      <c r="X47" s="56">
        <f t="shared" si="31"/>
        <v>0.95238093279096481</v>
      </c>
      <c r="Y47" s="57">
        <f t="shared" si="25"/>
        <v>6.0000017630988792E-2</v>
      </c>
      <c r="Z47" s="57"/>
      <c r="AA47" s="58">
        <f t="shared" si="26"/>
        <v>10209.300000000017</v>
      </c>
      <c r="AB47" s="58">
        <f t="shared" si="27"/>
        <v>153354.95000000001</v>
      </c>
      <c r="AC47" s="58">
        <v>16800</v>
      </c>
      <c r="AE47" s="8">
        <f t="shared" si="32"/>
        <v>159945.65</v>
      </c>
      <c r="AF47" t="b">
        <f t="shared" si="33"/>
        <v>1</v>
      </c>
      <c r="AG47" s="59">
        <f t="shared" si="34"/>
        <v>170154.95</v>
      </c>
      <c r="AH47" t="b">
        <f t="shared" si="28"/>
        <v>1</v>
      </c>
      <c r="AI47" s="58">
        <f t="shared" si="29"/>
        <v>0.90126646330300708</v>
      </c>
      <c r="AJ47" s="58">
        <f t="shared" si="35"/>
        <v>0.93999998236901117</v>
      </c>
    </row>
    <row r="48" spans="2:36">
      <c r="D48" s="70" t="s">
        <v>23</v>
      </c>
      <c r="E48" s="154">
        <v>173339.4</v>
      </c>
      <c r="F48" s="155">
        <v>26000.91</v>
      </c>
      <c r="G48" s="156">
        <v>147338.49</v>
      </c>
      <c r="H48" s="156">
        <v>79562.78</v>
      </c>
      <c r="I48" s="156">
        <v>40518.080000000002</v>
      </c>
      <c r="J48" s="154">
        <v>16501.91</v>
      </c>
      <c r="K48" s="145"/>
      <c r="L48" s="157" t="s">
        <v>23</v>
      </c>
      <c r="M48" s="109">
        <f t="shared" si="30"/>
        <v>164672.43</v>
      </c>
      <c r="N48" s="109">
        <f t="shared" si="24"/>
        <v>24700.8645</v>
      </c>
      <c r="O48" s="109">
        <f t="shared" si="24"/>
        <v>139971.5655</v>
      </c>
      <c r="P48" s="109">
        <f t="shared" si="24"/>
        <v>75584.640999999989</v>
      </c>
      <c r="Q48" s="109">
        <f t="shared" si="24"/>
        <v>38492.175999999999</v>
      </c>
      <c r="R48" s="109">
        <f t="shared" si="24"/>
        <v>15676.814499999999</v>
      </c>
      <c r="S48" s="145"/>
      <c r="T48" s="158" t="s">
        <v>23</v>
      </c>
      <c r="U48" s="72">
        <v>173339.4</v>
      </c>
      <c r="V48" s="74">
        <v>165085.14000000001</v>
      </c>
      <c r="W48" s="76">
        <v>162939.03</v>
      </c>
      <c r="X48" s="56">
        <f t="shared" si="31"/>
        <v>0.95238093589801287</v>
      </c>
      <c r="Y48" s="57">
        <f t="shared" si="25"/>
        <v>6.0000034614173095E-2</v>
      </c>
      <c r="Z48" s="57"/>
      <c r="AA48" s="58">
        <f t="shared" si="26"/>
        <v>10400.369999999995</v>
      </c>
      <c r="AB48" s="58">
        <f t="shared" si="27"/>
        <v>153354.94999999998</v>
      </c>
      <c r="AC48" s="58">
        <v>16800</v>
      </c>
      <c r="AD48" s="7">
        <v>3184.45</v>
      </c>
      <c r="AE48" s="8">
        <f t="shared" si="32"/>
        <v>162939.03</v>
      </c>
      <c r="AF48" t="b">
        <f t="shared" si="33"/>
        <v>1</v>
      </c>
      <c r="AG48" s="59">
        <f t="shared" si="34"/>
        <v>173339.4</v>
      </c>
      <c r="AH48" t="b">
        <f t="shared" si="28"/>
        <v>1</v>
      </c>
      <c r="AI48" s="58">
        <f t="shared" si="29"/>
        <v>0.90126646330300708</v>
      </c>
      <c r="AJ48" s="58">
        <f t="shared" si="35"/>
        <v>0.93999996538582686</v>
      </c>
    </row>
    <row r="49" spans="2:36">
      <c r="D49" s="83" t="s">
        <v>55</v>
      </c>
      <c r="E49" s="37"/>
      <c r="F49" s="37"/>
      <c r="G49" s="37"/>
      <c r="H49" s="37"/>
      <c r="I49" s="37"/>
      <c r="J49" s="37"/>
      <c r="K49" s="37"/>
      <c r="L49" s="84" t="s">
        <v>55</v>
      </c>
      <c r="M49" s="5"/>
      <c r="N49" s="5"/>
      <c r="O49" s="5"/>
      <c r="P49" s="5"/>
      <c r="Q49" s="5"/>
      <c r="R49" s="5"/>
      <c r="S49" s="37"/>
      <c r="T49" s="3"/>
      <c r="U49" s="3"/>
      <c r="V49" s="3"/>
      <c r="W49" s="6"/>
      <c r="Y49" s="57"/>
      <c r="Z49" s="57"/>
      <c r="AA49" s="58">
        <f>U49-V49</f>
        <v>0</v>
      </c>
      <c r="AB49" s="58"/>
      <c r="AC49" s="58"/>
      <c r="AI49" s="58"/>
    </row>
    <row r="50" spans="2:36">
      <c r="D50" s="83" t="s">
        <v>56</v>
      </c>
      <c r="E50" s="37"/>
      <c r="F50" s="37"/>
      <c r="G50" s="37"/>
      <c r="H50" s="37"/>
      <c r="I50" s="37"/>
      <c r="J50" s="37"/>
      <c r="K50" s="37"/>
      <c r="L50" s="84" t="s">
        <v>56</v>
      </c>
      <c r="M50" s="5"/>
      <c r="N50" s="5"/>
      <c r="O50" s="5"/>
      <c r="P50" s="5"/>
      <c r="Q50" s="5"/>
      <c r="R50" s="5"/>
      <c r="S50" s="37"/>
      <c r="T50" s="3"/>
      <c r="U50" s="3"/>
      <c r="V50" s="3"/>
      <c r="W50" s="6"/>
    </row>
    <row r="51" spans="2:36" ht="27.95" customHeight="1">
      <c r="D51" s="345" t="s">
        <v>57</v>
      </c>
      <c r="E51" s="345"/>
      <c r="F51" s="345"/>
      <c r="G51" s="345"/>
      <c r="H51" s="345"/>
      <c r="I51" s="345"/>
      <c r="J51" s="345"/>
      <c r="K51" s="81"/>
      <c r="L51" s="328" t="s">
        <v>57</v>
      </c>
      <c r="M51" s="328"/>
      <c r="N51" s="328"/>
      <c r="O51" s="328"/>
      <c r="P51" s="328"/>
      <c r="Q51" s="328"/>
      <c r="R51" s="328"/>
      <c r="S51" s="81"/>
      <c r="T51" s="3"/>
      <c r="U51" s="3"/>
      <c r="V51" s="3"/>
      <c r="W51" s="6"/>
    </row>
    <row r="52" spans="2:36">
      <c r="D52" s="83"/>
      <c r="E52" s="37"/>
      <c r="F52" s="37"/>
      <c r="G52" s="37"/>
      <c r="H52" s="37"/>
      <c r="I52" s="37"/>
      <c r="J52" s="37"/>
      <c r="K52" s="37"/>
      <c r="L52" s="84"/>
      <c r="M52" s="5"/>
      <c r="N52" s="5"/>
      <c r="O52" s="5"/>
      <c r="P52" s="5"/>
      <c r="Q52" s="5"/>
      <c r="R52" s="5"/>
      <c r="S52" s="37"/>
      <c r="T52" s="3"/>
      <c r="U52" s="3"/>
      <c r="V52" s="3"/>
      <c r="W52" s="6"/>
    </row>
    <row r="53" spans="2:36" ht="18.75" customHeight="1">
      <c r="D53" s="357" t="s">
        <v>1</v>
      </c>
      <c r="E53" s="357" t="s">
        <v>3</v>
      </c>
      <c r="F53" s="359" t="s">
        <v>38</v>
      </c>
      <c r="G53" s="360"/>
      <c r="H53" s="360"/>
      <c r="I53" s="360"/>
      <c r="J53" s="360"/>
      <c r="K53" s="13"/>
      <c r="L53" s="361" t="s">
        <v>1</v>
      </c>
      <c r="M53" s="361" t="s">
        <v>3</v>
      </c>
      <c r="N53" s="363" t="s">
        <v>38</v>
      </c>
      <c r="O53" s="364"/>
      <c r="P53" s="364"/>
      <c r="Q53" s="364"/>
      <c r="R53" s="364"/>
      <c r="S53" s="13"/>
      <c r="T53" s="14"/>
      <c r="U53" s="15"/>
      <c r="V53" s="3"/>
      <c r="W53" s="6"/>
    </row>
    <row r="54" spans="2:36" ht="143.25">
      <c r="B54" s="1" t="s">
        <v>27</v>
      </c>
      <c r="D54" s="358"/>
      <c r="E54" s="367"/>
      <c r="F54" s="16" t="s">
        <v>39</v>
      </c>
      <c r="G54" s="17" t="s">
        <v>40</v>
      </c>
      <c r="H54" s="18" t="s">
        <v>41</v>
      </c>
      <c r="I54" s="18" t="s">
        <v>42</v>
      </c>
      <c r="J54" s="19" t="s">
        <v>43</v>
      </c>
      <c r="K54" s="20"/>
      <c r="L54" s="362"/>
      <c r="M54" s="368"/>
      <c r="N54" s="21" t="s">
        <v>39</v>
      </c>
      <c r="O54" s="22" t="s">
        <v>40</v>
      </c>
      <c r="P54" s="23" t="s">
        <v>41</v>
      </c>
      <c r="Q54" s="23" t="s">
        <v>42</v>
      </c>
      <c r="R54" s="24" t="s">
        <v>43</v>
      </c>
      <c r="S54" s="20"/>
      <c r="T54" s="25" t="s">
        <v>1</v>
      </c>
      <c r="U54" s="26" t="s">
        <v>44</v>
      </c>
      <c r="V54" s="26" t="s">
        <v>45</v>
      </c>
      <c r="W54" s="26" t="s">
        <v>46</v>
      </c>
    </row>
    <row r="55" spans="2:36" ht="48.75">
      <c r="D55" s="33"/>
      <c r="E55" s="139"/>
      <c r="F55" s="139"/>
      <c r="G55" s="139"/>
      <c r="H55" s="139"/>
      <c r="I55" s="139"/>
      <c r="J55" s="139"/>
      <c r="K55" s="37"/>
      <c r="L55" s="38"/>
      <c r="M55" s="140"/>
      <c r="N55" s="140"/>
      <c r="O55" s="140"/>
      <c r="P55" s="140"/>
      <c r="Q55" s="140"/>
      <c r="R55" s="140"/>
      <c r="S55" s="37"/>
      <c r="T55" s="3"/>
      <c r="U55" s="141"/>
      <c r="V55" s="159"/>
      <c r="W55" s="6"/>
      <c r="AB55" s="28" t="s">
        <v>48</v>
      </c>
      <c r="AC55" s="29" t="s">
        <v>49</v>
      </c>
      <c r="AD55" s="30" t="s">
        <v>50</v>
      </c>
      <c r="AE55" s="31"/>
      <c r="AI55" s="28"/>
    </row>
    <row r="56" spans="2:36">
      <c r="D56" s="46" t="s">
        <v>7</v>
      </c>
      <c r="E56" s="142">
        <v>158927.29</v>
      </c>
      <c r="F56" s="143">
        <v>23839.09</v>
      </c>
      <c r="G56" s="144">
        <v>135088.19</v>
      </c>
      <c r="H56" s="144">
        <v>72947.62</v>
      </c>
      <c r="I56" s="144">
        <v>37149.25</v>
      </c>
      <c r="J56" s="142">
        <v>15129.88</v>
      </c>
      <c r="K56" s="145"/>
      <c r="L56" s="160" t="s">
        <v>7</v>
      </c>
      <c r="M56" s="109">
        <f>E56*0.95</f>
        <v>150980.92550000001</v>
      </c>
      <c r="N56" s="109">
        <f t="shared" ref="N56:R63" si="36">F56*0.95</f>
        <v>22647.1355</v>
      </c>
      <c r="O56" s="109">
        <f t="shared" si="36"/>
        <v>128333.78049999999</v>
      </c>
      <c r="P56" s="109">
        <f t="shared" si="36"/>
        <v>69300.238999999987</v>
      </c>
      <c r="Q56" s="109">
        <f t="shared" si="36"/>
        <v>35291.787499999999</v>
      </c>
      <c r="R56" s="109">
        <f t="shared" si="36"/>
        <v>14373.385999999999</v>
      </c>
      <c r="S56" s="145"/>
      <c r="T56" s="54" t="s">
        <v>7</v>
      </c>
      <c r="U56" s="48">
        <v>158927.29</v>
      </c>
      <c r="V56" s="50">
        <v>151359.32</v>
      </c>
      <c r="W56" s="55">
        <v>149391.65</v>
      </c>
      <c r="X56" s="56">
        <f>V56/U56</f>
        <v>0.95238092841072164</v>
      </c>
      <c r="Y56" s="57">
        <f>AA56/U56</f>
        <v>6.0000016359682551E-2</v>
      </c>
      <c r="Z56" s="57"/>
      <c r="AA56" s="58">
        <f>U56-W56</f>
        <v>9535.640000000014</v>
      </c>
      <c r="AB56" s="58">
        <f>U56-AC56-AD56</f>
        <v>153152.29</v>
      </c>
      <c r="AC56" s="58">
        <v>5775</v>
      </c>
      <c r="AE56" s="8">
        <f>SUM(AB56:AD56)-AA56</f>
        <v>149391.65</v>
      </c>
      <c r="AF56" t="b">
        <f>AE56=W56</f>
        <v>1</v>
      </c>
      <c r="AG56" s="59">
        <f>SUM(AB56:AD56)</f>
        <v>158927.29</v>
      </c>
      <c r="AH56" t="b">
        <f>AG56=U56</f>
        <v>1</v>
      </c>
      <c r="AI56" s="58">
        <f>AB56/(U56-AD56)</f>
        <v>0.96366262836294514</v>
      </c>
      <c r="AJ56" s="58">
        <f>AE56/U56</f>
        <v>0.93999998364031745</v>
      </c>
    </row>
    <row r="57" spans="2:36">
      <c r="D57" s="60" t="s">
        <v>54</v>
      </c>
      <c r="E57" s="147">
        <v>180818.87</v>
      </c>
      <c r="F57" s="148">
        <v>27122.83</v>
      </c>
      <c r="G57" s="149">
        <v>153696.04</v>
      </c>
      <c r="H57" s="149">
        <v>82995.86</v>
      </c>
      <c r="I57" s="149">
        <v>42266.41</v>
      </c>
      <c r="J57" s="147">
        <v>17213.96</v>
      </c>
      <c r="K57" s="145"/>
      <c r="L57" s="161" t="s">
        <v>54</v>
      </c>
      <c r="M57" s="109">
        <f t="shared" ref="M57:M63" si="37">E57*0.95</f>
        <v>171777.9265</v>
      </c>
      <c r="N57" s="109">
        <f t="shared" si="36"/>
        <v>25766.6885</v>
      </c>
      <c r="O57" s="109">
        <f t="shared" si="36"/>
        <v>146011.23800000001</v>
      </c>
      <c r="P57" s="109">
        <f t="shared" si="36"/>
        <v>78846.066999999995</v>
      </c>
      <c r="Q57" s="109">
        <f t="shared" si="36"/>
        <v>40153.089500000002</v>
      </c>
      <c r="R57" s="109">
        <f t="shared" si="36"/>
        <v>16353.261999999999</v>
      </c>
      <c r="S57" s="145"/>
      <c r="T57" s="151" t="s">
        <v>54</v>
      </c>
      <c r="U57" s="62">
        <v>180818.87</v>
      </c>
      <c r="V57" s="64">
        <v>172208.45</v>
      </c>
      <c r="W57" s="67">
        <v>169969.74</v>
      </c>
      <c r="X57" s="56">
        <f t="shared" ref="X57:X65" si="38">V57/U57</f>
        <v>0.95238096554856255</v>
      </c>
      <c r="Y57" s="57">
        <f>AA57/U57</f>
        <v>5.9999987833128286E-2</v>
      </c>
      <c r="Z57" s="57"/>
      <c r="AA57" s="58">
        <f>U57-W57</f>
        <v>10849.130000000005</v>
      </c>
      <c r="AB57" s="58">
        <f>U57-AC57-AD57</f>
        <v>175043.87</v>
      </c>
      <c r="AC57" s="58">
        <v>5775</v>
      </c>
      <c r="AE57" s="8">
        <f>SUM(AB57:AD57)-AA57</f>
        <v>169969.74</v>
      </c>
      <c r="AF57" t="b">
        <f>AE57=W57</f>
        <v>1</v>
      </c>
      <c r="AG57" s="59">
        <f>SUM(AB57:AD57)</f>
        <v>180818.87</v>
      </c>
      <c r="AH57" t="b">
        <f>AG57=U57</f>
        <v>1</v>
      </c>
      <c r="AI57" s="58">
        <f>AB57/(U57-AD57)</f>
        <v>0.96806196167468583</v>
      </c>
      <c r="AJ57" s="58">
        <f>AE57/U57</f>
        <v>0.94000001216687168</v>
      </c>
    </row>
    <row r="58" spans="2:36">
      <c r="D58" s="60" t="s">
        <v>11</v>
      </c>
      <c r="E58" s="147">
        <v>205893.65</v>
      </c>
      <c r="F58" s="148">
        <v>30884.05</v>
      </c>
      <c r="G58" s="149">
        <v>175009.6</v>
      </c>
      <c r="H58" s="149">
        <v>94505.19</v>
      </c>
      <c r="I58" s="149">
        <v>48127.64</v>
      </c>
      <c r="J58" s="147">
        <v>19601.080000000002</v>
      </c>
      <c r="K58" s="145"/>
      <c r="L58" s="161" t="s">
        <v>11</v>
      </c>
      <c r="M58" s="109">
        <f t="shared" si="37"/>
        <v>195598.9675</v>
      </c>
      <c r="N58" s="109">
        <f t="shared" si="36"/>
        <v>29339.847499999996</v>
      </c>
      <c r="O58" s="109">
        <f t="shared" si="36"/>
        <v>166259.12</v>
      </c>
      <c r="P58" s="109">
        <f t="shared" si="36"/>
        <v>89779.930500000002</v>
      </c>
      <c r="Q58" s="109">
        <f t="shared" si="36"/>
        <v>45721.257999999994</v>
      </c>
      <c r="R58" s="109">
        <f t="shared" si="36"/>
        <v>18621.026000000002</v>
      </c>
      <c r="S58" s="145"/>
      <c r="T58" s="151" t="s">
        <v>11</v>
      </c>
      <c r="U58" s="62">
        <v>205893.65</v>
      </c>
      <c r="V58" s="64">
        <v>196089.19</v>
      </c>
      <c r="W58" s="67">
        <v>193540.03</v>
      </c>
      <c r="X58" s="56">
        <f t="shared" si="38"/>
        <v>0.95238095006815415</v>
      </c>
      <c r="Y58" s="57">
        <f t="shared" ref="Y58:Y63" si="39">AA58/U58</f>
        <v>6.0000004856876329E-2</v>
      </c>
      <c r="Z58" s="57"/>
      <c r="AA58" s="58">
        <f t="shared" ref="AA58:AA63" si="40">U58-W58</f>
        <v>12353.619999999995</v>
      </c>
      <c r="AB58" s="58">
        <f t="shared" ref="AB58:AB63" si="41">U58-AC58-AD58</f>
        <v>194309.19999999998</v>
      </c>
      <c r="AC58" s="58">
        <v>8400</v>
      </c>
      <c r="AD58" s="7">
        <v>3184.45</v>
      </c>
      <c r="AE58" s="8">
        <f t="shared" ref="AE58:AE63" si="42">SUM(AB58:AD58)-AA58</f>
        <v>193540.03</v>
      </c>
      <c r="AF58" t="b">
        <f t="shared" ref="AF58:AF63" si="43">AE58=W58</f>
        <v>1</v>
      </c>
      <c r="AG58" s="59">
        <f t="shared" ref="AG58:AG63" si="44">SUM(AB58:AD58)</f>
        <v>205893.65</v>
      </c>
      <c r="AH58" t="b">
        <f t="shared" ref="AH58:AH63" si="45">AG58=U58</f>
        <v>1</v>
      </c>
      <c r="AI58" s="58">
        <f t="shared" ref="AI58:AI63" si="46">AB58/(U58-AD58)</f>
        <v>0.95856132824755858</v>
      </c>
      <c r="AJ58" s="58">
        <f t="shared" ref="AJ58:AJ63" si="47">AE58/U58</f>
        <v>0.93999999514312371</v>
      </c>
    </row>
    <row r="59" spans="2:36">
      <c r="D59" s="60" t="s">
        <v>13</v>
      </c>
      <c r="E59" s="147">
        <v>213656.27</v>
      </c>
      <c r="F59" s="148">
        <v>32048.44</v>
      </c>
      <c r="G59" s="149">
        <v>181607.83</v>
      </c>
      <c r="H59" s="149">
        <v>98068.23</v>
      </c>
      <c r="I59" s="149">
        <v>49942.15</v>
      </c>
      <c r="J59" s="147">
        <v>20340.080000000002</v>
      </c>
      <c r="K59" s="145"/>
      <c r="L59" s="161" t="s">
        <v>13</v>
      </c>
      <c r="M59" s="109">
        <f t="shared" si="37"/>
        <v>202973.45649999997</v>
      </c>
      <c r="N59" s="109">
        <f t="shared" si="36"/>
        <v>30446.017999999996</v>
      </c>
      <c r="O59" s="109">
        <f t="shared" si="36"/>
        <v>172527.43849999999</v>
      </c>
      <c r="P59" s="109">
        <f t="shared" si="36"/>
        <v>93164.818499999994</v>
      </c>
      <c r="Q59" s="109">
        <f t="shared" si="36"/>
        <v>47445.042499999996</v>
      </c>
      <c r="R59" s="109">
        <f t="shared" si="36"/>
        <v>19323.076000000001</v>
      </c>
      <c r="S59" s="145"/>
      <c r="T59" s="151" t="s">
        <v>13</v>
      </c>
      <c r="U59" s="62">
        <v>213656.27</v>
      </c>
      <c r="V59" s="64">
        <v>203482.16</v>
      </c>
      <c r="W59" s="67">
        <v>200836.89</v>
      </c>
      <c r="X59" s="56">
        <f t="shared" si="38"/>
        <v>0.95238094346587632</v>
      </c>
      <c r="Y59" s="57">
        <f t="shared" si="39"/>
        <v>6.0000017785576697E-2</v>
      </c>
      <c r="Z59" s="57"/>
      <c r="AA59" s="58">
        <f t="shared" si="40"/>
        <v>12819.379999999976</v>
      </c>
      <c r="AB59" s="58">
        <f t="shared" si="41"/>
        <v>202106.27</v>
      </c>
      <c r="AC59" s="58">
        <v>11550</v>
      </c>
      <c r="AE59" s="8">
        <f t="shared" si="42"/>
        <v>200836.89</v>
      </c>
      <c r="AF59" t="b">
        <f t="shared" si="43"/>
        <v>1</v>
      </c>
      <c r="AG59" s="59">
        <f t="shared" si="44"/>
        <v>213656.27</v>
      </c>
      <c r="AH59" t="b">
        <f t="shared" si="45"/>
        <v>1</v>
      </c>
      <c r="AI59" s="58">
        <f t="shared" si="46"/>
        <v>0.94594120734205456</v>
      </c>
      <c r="AJ59" s="58">
        <f t="shared" si="47"/>
        <v>0.93999998221442327</v>
      </c>
    </row>
    <row r="60" spans="2:36">
      <c r="D60" s="60" t="s">
        <v>15</v>
      </c>
      <c r="E60" s="147">
        <v>218631.63</v>
      </c>
      <c r="F60" s="148">
        <v>32794.74</v>
      </c>
      <c r="G60" s="149">
        <v>185836.89</v>
      </c>
      <c r="H60" s="149">
        <v>100351.92</v>
      </c>
      <c r="I60" s="149">
        <v>51105.14</v>
      </c>
      <c r="J60" s="147">
        <v>20813.73</v>
      </c>
      <c r="K60" s="145"/>
      <c r="L60" s="161" t="s">
        <v>15</v>
      </c>
      <c r="M60" s="109">
        <f t="shared" si="37"/>
        <v>207700.0485</v>
      </c>
      <c r="N60" s="109">
        <f t="shared" si="36"/>
        <v>31155.002999999997</v>
      </c>
      <c r="O60" s="109">
        <f t="shared" si="36"/>
        <v>176545.04550000001</v>
      </c>
      <c r="P60" s="109">
        <f t="shared" si="36"/>
        <v>95334.323999999993</v>
      </c>
      <c r="Q60" s="109">
        <f t="shared" si="36"/>
        <v>48549.882999999994</v>
      </c>
      <c r="R60" s="109">
        <f t="shared" si="36"/>
        <v>19773.0435</v>
      </c>
      <c r="S60" s="145"/>
      <c r="T60" s="151" t="s">
        <v>15</v>
      </c>
      <c r="U60" s="62">
        <v>218631.63</v>
      </c>
      <c r="V60" s="64">
        <v>208220.6</v>
      </c>
      <c r="W60" s="67">
        <v>205513.73</v>
      </c>
      <c r="X60" s="56">
        <f t="shared" si="38"/>
        <v>0.95238095238095244</v>
      </c>
      <c r="Y60" s="57">
        <f t="shared" si="39"/>
        <v>6.00000100625879E-2</v>
      </c>
      <c r="Z60" s="57"/>
      <c r="AA60" s="58">
        <f t="shared" si="40"/>
        <v>13117.899999999994</v>
      </c>
      <c r="AB60" s="58">
        <f t="shared" si="41"/>
        <v>202881.63</v>
      </c>
      <c r="AC60" s="58">
        <v>15750</v>
      </c>
      <c r="AE60" s="8">
        <f t="shared" si="42"/>
        <v>205513.73</v>
      </c>
      <c r="AF60" t="b">
        <f t="shared" si="43"/>
        <v>1</v>
      </c>
      <c r="AG60" s="59">
        <f t="shared" si="44"/>
        <v>218631.63</v>
      </c>
      <c r="AH60" t="b">
        <f t="shared" si="45"/>
        <v>1</v>
      </c>
      <c r="AI60" s="58">
        <f t="shared" si="46"/>
        <v>0.92796101826620425</v>
      </c>
      <c r="AJ60" s="58">
        <f t="shared" si="47"/>
        <v>0.93999998993741207</v>
      </c>
    </row>
    <row r="61" spans="2:36">
      <c r="D61" s="162" t="s">
        <v>17</v>
      </c>
      <c r="E61" s="154">
        <v>221816.08</v>
      </c>
      <c r="F61" s="155">
        <v>33272.410000000003</v>
      </c>
      <c r="G61" s="156">
        <v>188543.67</v>
      </c>
      <c r="H61" s="156">
        <v>101813.58</v>
      </c>
      <c r="I61" s="156">
        <v>51849.51</v>
      </c>
      <c r="J61" s="154">
        <v>21116.89</v>
      </c>
      <c r="K61" s="145"/>
      <c r="L61" s="163" t="s">
        <v>17</v>
      </c>
      <c r="M61" s="109">
        <f t="shared" si="37"/>
        <v>210725.27599999998</v>
      </c>
      <c r="N61" s="109">
        <f t="shared" si="36"/>
        <v>31608.789500000003</v>
      </c>
      <c r="O61" s="109">
        <f t="shared" si="36"/>
        <v>179116.4865</v>
      </c>
      <c r="P61" s="109">
        <f t="shared" si="36"/>
        <v>96722.900999999998</v>
      </c>
      <c r="Q61" s="109">
        <f t="shared" si="36"/>
        <v>49257.034500000002</v>
      </c>
      <c r="R61" s="109">
        <f t="shared" si="36"/>
        <v>20061.0455</v>
      </c>
      <c r="S61" s="145"/>
      <c r="T61" s="164" t="s">
        <v>17</v>
      </c>
      <c r="U61" s="72">
        <v>221816.08</v>
      </c>
      <c r="V61" s="74">
        <v>211253.41</v>
      </c>
      <c r="W61" s="76">
        <v>208507.12</v>
      </c>
      <c r="X61" s="56">
        <f t="shared" si="38"/>
        <v>0.95238095452773308</v>
      </c>
      <c r="Y61" s="57">
        <f t="shared" si="39"/>
        <v>5.9999978360450658E-2</v>
      </c>
      <c r="Z61" s="57"/>
      <c r="AA61" s="58">
        <f t="shared" si="40"/>
        <v>13308.959999999992</v>
      </c>
      <c r="AB61" s="58">
        <f t="shared" si="41"/>
        <v>202881.62999999998</v>
      </c>
      <c r="AC61" s="58">
        <v>15750</v>
      </c>
      <c r="AD61" s="7">
        <v>3184.45</v>
      </c>
      <c r="AE61" s="8">
        <f t="shared" si="42"/>
        <v>208507.12</v>
      </c>
      <c r="AF61" t="b">
        <f t="shared" si="43"/>
        <v>1</v>
      </c>
      <c r="AG61" s="59">
        <f t="shared" si="44"/>
        <v>221816.08</v>
      </c>
      <c r="AH61" t="b">
        <f t="shared" si="45"/>
        <v>1</v>
      </c>
      <c r="AI61" s="58">
        <f t="shared" si="46"/>
        <v>0.92796101826620425</v>
      </c>
      <c r="AJ61" s="58">
        <f t="shared" si="47"/>
        <v>0.94000002163954932</v>
      </c>
    </row>
    <row r="62" spans="2:36">
      <c r="D62" s="165" t="s">
        <v>19</v>
      </c>
      <c r="E62" s="166">
        <v>229563.21</v>
      </c>
      <c r="F62" s="167">
        <v>34434.480000000003</v>
      </c>
      <c r="G62" s="168">
        <v>195128.73</v>
      </c>
      <c r="H62" s="169">
        <v>105369.51</v>
      </c>
      <c r="I62" s="169">
        <v>53660.4</v>
      </c>
      <c r="J62" s="170">
        <v>21854.42</v>
      </c>
      <c r="K62" s="171"/>
      <c r="L62" s="150" t="s">
        <v>19</v>
      </c>
      <c r="M62" s="109">
        <f t="shared" si="37"/>
        <v>218085.04949999999</v>
      </c>
      <c r="N62" s="109">
        <f t="shared" si="36"/>
        <v>32712.756000000001</v>
      </c>
      <c r="O62" s="109">
        <f t="shared" si="36"/>
        <v>185372.2935</v>
      </c>
      <c r="P62" s="109">
        <f t="shared" si="36"/>
        <v>100101.03449999999</v>
      </c>
      <c r="Q62" s="109">
        <f t="shared" si="36"/>
        <v>50977.38</v>
      </c>
      <c r="R62" s="109">
        <f t="shared" si="36"/>
        <v>20761.698999999997</v>
      </c>
      <c r="S62" s="171"/>
      <c r="T62" s="151" t="s">
        <v>19</v>
      </c>
      <c r="U62" s="172">
        <v>229563.21</v>
      </c>
      <c r="V62" s="173">
        <v>218631.63</v>
      </c>
      <c r="W62" s="67">
        <v>215789.42</v>
      </c>
      <c r="X62" s="56">
        <f>V62/U62</f>
        <v>0.95238095860395056</v>
      </c>
      <c r="Y62" s="57">
        <f t="shared" si="39"/>
        <v>5.9999988674143301E-2</v>
      </c>
      <c r="Z62" s="57"/>
      <c r="AA62" s="58">
        <f t="shared" si="40"/>
        <v>13773.789999999979</v>
      </c>
      <c r="AB62" s="58">
        <f t="shared" si="41"/>
        <v>212763.21</v>
      </c>
      <c r="AC62" s="58">
        <v>16800</v>
      </c>
      <c r="AE62" s="8">
        <f t="shared" si="42"/>
        <v>215789.42</v>
      </c>
      <c r="AF62" t="b">
        <f t="shared" si="43"/>
        <v>1</v>
      </c>
      <c r="AG62" s="59">
        <f t="shared" si="44"/>
        <v>229563.21</v>
      </c>
      <c r="AH62" t="b">
        <f t="shared" si="45"/>
        <v>1</v>
      </c>
      <c r="AI62" s="58">
        <f t="shared" si="46"/>
        <v>0.92681754188748278</v>
      </c>
      <c r="AJ62" s="58">
        <f t="shared" si="47"/>
        <v>0.94000001132585675</v>
      </c>
    </row>
    <row r="63" spans="2:36">
      <c r="D63" s="165" t="s">
        <v>21</v>
      </c>
      <c r="E63" s="166">
        <v>234154.47</v>
      </c>
      <c r="F63" s="167">
        <v>35123.17</v>
      </c>
      <c r="G63" s="168">
        <v>199031.3</v>
      </c>
      <c r="H63" s="169">
        <v>107476.9</v>
      </c>
      <c r="I63" s="169">
        <v>54733.61</v>
      </c>
      <c r="J63" s="170">
        <v>22291.51</v>
      </c>
      <c r="K63" s="171"/>
      <c r="L63" s="150" t="s">
        <v>21</v>
      </c>
      <c r="M63" s="109">
        <f t="shared" si="37"/>
        <v>222446.74649999998</v>
      </c>
      <c r="N63" s="109">
        <f t="shared" si="36"/>
        <v>33367.011499999993</v>
      </c>
      <c r="O63" s="109">
        <f t="shared" si="36"/>
        <v>189079.73499999999</v>
      </c>
      <c r="P63" s="109">
        <f t="shared" si="36"/>
        <v>102103.05499999999</v>
      </c>
      <c r="Q63" s="109">
        <f t="shared" si="36"/>
        <v>51996.929499999998</v>
      </c>
      <c r="R63" s="109">
        <f t="shared" si="36"/>
        <v>21176.934499999996</v>
      </c>
      <c r="S63" s="171"/>
      <c r="T63" s="151" t="s">
        <v>21</v>
      </c>
      <c r="U63" s="172">
        <v>234154.47</v>
      </c>
      <c r="V63" s="173">
        <v>223004.26</v>
      </c>
      <c r="W63" s="67">
        <v>220105.2</v>
      </c>
      <c r="X63" s="56">
        <f t="shared" ref="X63" si="48">V63/U63</f>
        <v>0.95238096458290977</v>
      </c>
      <c r="Y63" s="57">
        <f t="shared" si="39"/>
        <v>6.0000007687233091E-2</v>
      </c>
      <c r="Z63" s="57"/>
      <c r="AA63" s="58">
        <f t="shared" si="40"/>
        <v>14049.26999999999</v>
      </c>
      <c r="AB63" s="58">
        <f t="shared" si="41"/>
        <v>217354.47</v>
      </c>
      <c r="AC63" s="58">
        <v>16800</v>
      </c>
      <c r="AE63" s="8">
        <f t="shared" si="42"/>
        <v>220105.2</v>
      </c>
      <c r="AF63" t="b">
        <f t="shared" si="43"/>
        <v>1</v>
      </c>
      <c r="AG63" s="59">
        <f t="shared" si="44"/>
        <v>234154.47</v>
      </c>
      <c r="AH63" t="b">
        <f t="shared" si="45"/>
        <v>1</v>
      </c>
      <c r="AI63" s="58">
        <f t="shared" si="46"/>
        <v>0.92825249075962546</v>
      </c>
      <c r="AJ63" s="58">
        <f t="shared" si="47"/>
        <v>0.93999999231276687</v>
      </c>
    </row>
    <row r="64" spans="2:36">
      <c r="D64" s="83" t="s">
        <v>55</v>
      </c>
      <c r="E64" s="37"/>
      <c r="F64" s="37"/>
      <c r="G64" s="37"/>
      <c r="H64" s="37"/>
      <c r="I64" s="37"/>
      <c r="J64" s="37"/>
      <c r="K64" s="37"/>
      <c r="L64" s="84" t="s">
        <v>55</v>
      </c>
      <c r="M64" s="5"/>
      <c r="N64" s="5"/>
      <c r="O64" s="5"/>
      <c r="P64" s="5"/>
      <c r="Q64" s="5"/>
      <c r="R64" s="5"/>
      <c r="S64" s="37"/>
      <c r="T64" s="3"/>
      <c r="U64" s="3"/>
      <c r="V64" s="3"/>
      <c r="W64" s="6"/>
      <c r="X64" s="56"/>
      <c r="AC64" s="58"/>
    </row>
    <row r="65" spans="2:36" ht="27.95" customHeight="1">
      <c r="D65" s="345" t="s">
        <v>57</v>
      </c>
      <c r="E65" s="345"/>
      <c r="F65" s="345"/>
      <c r="G65" s="345"/>
      <c r="H65" s="345"/>
      <c r="I65" s="345"/>
      <c r="J65" s="345"/>
      <c r="K65" s="81"/>
      <c r="L65" s="328" t="s">
        <v>57</v>
      </c>
      <c r="M65" s="328"/>
      <c r="N65" s="328"/>
      <c r="O65" s="328"/>
      <c r="P65" s="328"/>
      <c r="Q65" s="328"/>
      <c r="R65" s="328"/>
      <c r="S65" s="81"/>
      <c r="T65" s="3"/>
      <c r="U65" s="3"/>
      <c r="V65" s="3"/>
      <c r="W65" s="6"/>
      <c r="X65" s="56" t="e">
        <f t="shared" si="38"/>
        <v>#DIV/0!</v>
      </c>
      <c r="AB65" s="58"/>
      <c r="AC65" s="58"/>
      <c r="AI65" s="58"/>
    </row>
    <row r="66" spans="2:36">
      <c r="D66" s="174"/>
      <c r="E66" s="3"/>
      <c r="F66" s="3"/>
      <c r="G66" s="3"/>
      <c r="H66" s="3"/>
      <c r="I66" s="3"/>
      <c r="J66" s="3"/>
      <c r="K66" s="3"/>
      <c r="L66" s="84"/>
      <c r="M66" s="5"/>
      <c r="N66" s="5"/>
      <c r="O66" s="5"/>
      <c r="P66" s="5"/>
      <c r="Q66" s="5"/>
      <c r="R66" s="5"/>
      <c r="S66" s="3"/>
      <c r="T66" s="3"/>
      <c r="U66" s="3"/>
      <c r="V66" s="3"/>
      <c r="W66" s="6"/>
      <c r="AB66" s="58"/>
      <c r="AC66" s="58"/>
      <c r="AI66" s="58"/>
    </row>
    <row r="67" spans="2:36">
      <c r="D67" s="174"/>
      <c r="E67" s="3"/>
      <c r="F67" s="3"/>
      <c r="G67" s="3"/>
      <c r="H67" s="3"/>
      <c r="I67" s="3"/>
      <c r="J67" s="3"/>
      <c r="K67" s="3"/>
      <c r="L67" s="84"/>
      <c r="M67" s="5"/>
      <c r="N67" s="5"/>
      <c r="O67" s="5"/>
      <c r="P67" s="5"/>
      <c r="Q67" s="5"/>
      <c r="R67" s="5"/>
      <c r="S67" s="3"/>
      <c r="T67" s="3"/>
      <c r="U67" s="3"/>
      <c r="V67" s="3"/>
      <c r="W67" s="6"/>
    </row>
    <row r="68" spans="2:36" ht="18.75" customHeight="1">
      <c r="B68" s="1" t="s">
        <v>28</v>
      </c>
      <c r="D68" s="357" t="s">
        <v>1</v>
      </c>
      <c r="E68" s="357" t="s">
        <v>3</v>
      </c>
      <c r="F68" s="359" t="s">
        <v>38</v>
      </c>
      <c r="G68" s="360"/>
      <c r="H68" s="360"/>
      <c r="I68" s="360"/>
      <c r="J68" s="360"/>
      <c r="K68" s="13"/>
      <c r="L68" s="361" t="s">
        <v>1</v>
      </c>
      <c r="M68" s="361" t="s">
        <v>3</v>
      </c>
      <c r="N68" s="363" t="s">
        <v>38</v>
      </c>
      <c r="O68" s="364"/>
      <c r="P68" s="364"/>
      <c r="Q68" s="364"/>
      <c r="R68" s="364"/>
      <c r="S68" s="13"/>
      <c r="T68" s="14"/>
      <c r="U68" s="15"/>
      <c r="V68" s="3"/>
      <c r="W68" s="6"/>
    </row>
    <row r="69" spans="2:36" ht="143.25">
      <c r="D69" s="358"/>
      <c r="E69" s="358"/>
      <c r="F69" s="16" t="s">
        <v>39</v>
      </c>
      <c r="G69" s="17" t="s">
        <v>40</v>
      </c>
      <c r="H69" s="18" t="s">
        <v>41</v>
      </c>
      <c r="I69" s="18" t="s">
        <v>42</v>
      </c>
      <c r="J69" s="19" t="s">
        <v>43</v>
      </c>
      <c r="K69" s="20"/>
      <c r="L69" s="362"/>
      <c r="M69" s="362"/>
      <c r="N69" s="21" t="s">
        <v>39</v>
      </c>
      <c r="O69" s="22" t="s">
        <v>40</v>
      </c>
      <c r="P69" s="23" t="s">
        <v>41</v>
      </c>
      <c r="Q69" s="23" t="s">
        <v>42</v>
      </c>
      <c r="R69" s="24" t="s">
        <v>43</v>
      </c>
      <c r="S69" s="20"/>
      <c r="T69" s="25" t="s">
        <v>1</v>
      </c>
      <c r="U69" s="26" t="s">
        <v>44</v>
      </c>
      <c r="V69" s="26" t="s">
        <v>45</v>
      </c>
      <c r="W69" s="26" t="s">
        <v>46</v>
      </c>
      <c r="AB69" s="28" t="s">
        <v>48</v>
      </c>
      <c r="AC69" s="29" t="s">
        <v>49</v>
      </c>
      <c r="AD69" s="30" t="s">
        <v>50</v>
      </c>
      <c r="AE69" s="31"/>
      <c r="AI69" s="28"/>
    </row>
    <row r="70" spans="2:36">
      <c r="D70" s="37"/>
      <c r="E70" s="37"/>
      <c r="F70" s="37"/>
      <c r="G70" s="37"/>
      <c r="H70" s="37"/>
      <c r="I70" s="37"/>
      <c r="J70" s="37"/>
      <c r="K70" s="37"/>
      <c r="L70" s="5"/>
      <c r="M70" s="5"/>
      <c r="N70" s="5"/>
      <c r="O70" s="5"/>
      <c r="P70" s="5"/>
      <c r="Q70" s="5"/>
      <c r="R70" s="5"/>
      <c r="S70" s="37"/>
      <c r="T70" s="3"/>
      <c r="U70" s="3"/>
      <c r="V70" s="3"/>
      <c r="W70" s="6"/>
      <c r="Y70" s="27"/>
      <c r="Z70" s="27"/>
      <c r="AA70" s="27"/>
    </row>
    <row r="71" spans="2:36">
      <c r="D71" s="46" t="s">
        <v>7</v>
      </c>
      <c r="E71" s="142">
        <v>198563.21</v>
      </c>
      <c r="F71" s="143">
        <v>29784.48</v>
      </c>
      <c r="G71" s="144">
        <v>168778.73</v>
      </c>
      <c r="H71" s="144">
        <v>91140.51</v>
      </c>
      <c r="I71" s="144">
        <v>46414.15</v>
      </c>
      <c r="J71" s="142">
        <v>18903.22</v>
      </c>
      <c r="K71" s="145"/>
      <c r="L71" s="160" t="s">
        <v>7</v>
      </c>
      <c r="M71" s="109">
        <f>E71*0.95</f>
        <v>188635.04949999999</v>
      </c>
      <c r="N71" s="109">
        <f t="shared" ref="N71:R76" si="49">F71*0.95</f>
        <v>28295.255999999998</v>
      </c>
      <c r="O71" s="109">
        <f t="shared" si="49"/>
        <v>160339.7935</v>
      </c>
      <c r="P71" s="109">
        <f t="shared" si="49"/>
        <v>86583.484499999991</v>
      </c>
      <c r="Q71" s="109">
        <f t="shared" si="49"/>
        <v>44093.442499999997</v>
      </c>
      <c r="R71" s="109">
        <f t="shared" si="49"/>
        <v>17958.059000000001</v>
      </c>
      <c r="S71" s="145"/>
      <c r="T71" s="54" t="s">
        <v>7</v>
      </c>
      <c r="U71" s="49">
        <v>198563.21</v>
      </c>
      <c r="V71" s="49">
        <v>189107.82</v>
      </c>
      <c r="W71" s="55">
        <v>186649.42</v>
      </c>
      <c r="X71" s="56">
        <f>V71/U71</f>
        <v>0.95238095717731408</v>
      </c>
      <c r="Y71" s="57">
        <f>AA71/U71</f>
        <v>5.9999986905932771E-2</v>
      </c>
      <c r="Z71" s="57"/>
      <c r="AA71" s="58">
        <f>U71-W71</f>
        <v>11913.789999999979</v>
      </c>
      <c r="AB71" s="58">
        <f>U71-AC71-AD71</f>
        <v>192788.21</v>
      </c>
      <c r="AC71" s="58">
        <v>5775</v>
      </c>
      <c r="AE71" s="8">
        <f>SUM(AB71:AD71)-AA71</f>
        <v>186649.42</v>
      </c>
      <c r="AF71" t="b">
        <f>AE71=W71</f>
        <v>1</v>
      </c>
      <c r="AG71" s="59">
        <f>SUM(AB71:AD71)</f>
        <v>198563.21</v>
      </c>
      <c r="AH71" t="b">
        <f t="shared" ref="AH71:AH76" si="50">AG71=U71</f>
        <v>1</v>
      </c>
      <c r="AI71" s="58">
        <f t="shared" ref="AI71:AI76" si="51">AB71/(U71-AD71)</f>
        <v>0.97091606244681483</v>
      </c>
      <c r="AJ71" s="58">
        <f>AE71/U71</f>
        <v>0.94000001309406722</v>
      </c>
    </row>
    <row r="72" spans="2:36">
      <c r="D72" s="60" t="s">
        <v>54</v>
      </c>
      <c r="E72" s="147">
        <v>225640</v>
      </c>
      <c r="F72" s="148">
        <v>33846</v>
      </c>
      <c r="G72" s="149">
        <v>191794</v>
      </c>
      <c r="H72" s="149">
        <v>103568.76</v>
      </c>
      <c r="I72" s="149">
        <v>52743.35</v>
      </c>
      <c r="J72" s="147">
        <v>21480.93</v>
      </c>
      <c r="K72" s="145"/>
      <c r="L72" s="161" t="s">
        <v>54</v>
      </c>
      <c r="M72" s="109">
        <f t="shared" ref="M72:M76" si="52">E72*0.95</f>
        <v>214358</v>
      </c>
      <c r="N72" s="109">
        <f t="shared" si="49"/>
        <v>32153.699999999997</v>
      </c>
      <c r="O72" s="109">
        <f t="shared" si="49"/>
        <v>182204.3</v>
      </c>
      <c r="P72" s="109">
        <f t="shared" si="49"/>
        <v>98390.321999999986</v>
      </c>
      <c r="Q72" s="109">
        <f t="shared" si="49"/>
        <v>50106.182499999995</v>
      </c>
      <c r="R72" s="109">
        <f t="shared" si="49"/>
        <v>20406.8835</v>
      </c>
      <c r="S72" s="145"/>
      <c r="T72" s="66" t="s">
        <v>54</v>
      </c>
      <c r="U72" s="63">
        <v>225640</v>
      </c>
      <c r="V72" s="63">
        <v>214895.24</v>
      </c>
      <c r="W72" s="67">
        <v>212101.6</v>
      </c>
      <c r="X72" s="56">
        <f t="shared" ref="X72:X76" si="53">V72/U72</f>
        <v>0.95238096082254919</v>
      </c>
      <c r="Y72" s="57">
        <f t="shared" ref="Y72:Y73" si="54">AA72/U72</f>
        <v>5.9999999999999977E-2</v>
      </c>
      <c r="Z72" s="57"/>
      <c r="AA72" s="58">
        <f t="shared" ref="AA72:AA76" si="55">U72-W72</f>
        <v>13538.399999999994</v>
      </c>
      <c r="AB72" s="58">
        <f t="shared" ref="AB72:AB76" si="56">U72-AC72-AD72</f>
        <v>219865</v>
      </c>
      <c r="AC72" s="58">
        <v>5775</v>
      </c>
      <c r="AE72" s="8">
        <f t="shared" ref="AE72" si="57">SUM(AB72:AD72)-AA72</f>
        <v>212101.6</v>
      </c>
      <c r="AF72" t="b">
        <f t="shared" ref="AF72:AF76" si="58">AE72=W72</f>
        <v>1</v>
      </c>
      <c r="AG72" s="59">
        <f t="shared" ref="AG72" si="59">SUM(AB72:AD72)</f>
        <v>225640</v>
      </c>
      <c r="AH72" t="b">
        <f t="shared" si="50"/>
        <v>1</v>
      </c>
      <c r="AI72" s="58">
        <f t="shared" si="51"/>
        <v>0.97440613366424389</v>
      </c>
      <c r="AJ72" s="58">
        <f t="shared" ref="AJ72:AJ76" si="60">AE72/U72</f>
        <v>0.94000000000000006</v>
      </c>
    </row>
    <row r="73" spans="2:36">
      <c r="D73" s="60" t="s">
        <v>11</v>
      </c>
      <c r="E73" s="147">
        <v>246874.38</v>
      </c>
      <c r="F73" s="148">
        <v>37031.160000000003</v>
      </c>
      <c r="G73" s="149">
        <v>209843.23</v>
      </c>
      <c r="H73" s="149">
        <v>113315.34</v>
      </c>
      <c r="I73" s="149">
        <v>57706.89</v>
      </c>
      <c r="J73" s="147">
        <v>23502.44</v>
      </c>
      <c r="K73" s="145"/>
      <c r="L73" s="161" t="s">
        <v>11</v>
      </c>
      <c r="M73" s="109">
        <f t="shared" si="52"/>
        <v>234530.66099999999</v>
      </c>
      <c r="N73" s="109">
        <f t="shared" si="49"/>
        <v>35179.601999999999</v>
      </c>
      <c r="O73" s="109">
        <f t="shared" si="49"/>
        <v>199351.06849999999</v>
      </c>
      <c r="P73" s="109">
        <f t="shared" si="49"/>
        <v>107649.57299999999</v>
      </c>
      <c r="Q73" s="109">
        <f t="shared" si="49"/>
        <v>54821.5455</v>
      </c>
      <c r="R73" s="109">
        <f t="shared" si="49"/>
        <v>22327.317999999999</v>
      </c>
      <c r="S73" s="145"/>
      <c r="T73" s="66" t="s">
        <v>11</v>
      </c>
      <c r="U73" s="63">
        <v>246874.38</v>
      </c>
      <c r="V73" s="63">
        <v>235118.46</v>
      </c>
      <c r="W73" s="67">
        <v>232061.92</v>
      </c>
      <c r="X73" s="56">
        <f t="shared" si="53"/>
        <v>0.95238096395421823</v>
      </c>
      <c r="Y73" s="57">
        <f t="shared" si="54"/>
        <v>5.9999988658199332E-2</v>
      </c>
      <c r="Z73" s="57"/>
      <c r="AA73" s="58">
        <f t="shared" si="55"/>
        <v>14812.459999999992</v>
      </c>
      <c r="AB73" s="58">
        <f t="shared" si="56"/>
        <v>235289.93</v>
      </c>
      <c r="AC73" s="58">
        <v>8400</v>
      </c>
      <c r="AD73" s="7">
        <v>3184.45</v>
      </c>
      <c r="AE73" s="8">
        <f>SUM(AB73:AD73)-AA73</f>
        <v>232061.92</v>
      </c>
      <c r="AF73" t="b">
        <f t="shared" si="58"/>
        <v>1</v>
      </c>
      <c r="AG73" s="59">
        <f>SUM(AB73:AD73)</f>
        <v>246874.38</v>
      </c>
      <c r="AH73" t="b">
        <f t="shared" si="50"/>
        <v>1</v>
      </c>
      <c r="AI73" s="58">
        <f t="shared" si="51"/>
        <v>0.9655299667081032</v>
      </c>
      <c r="AJ73" s="58">
        <f t="shared" si="60"/>
        <v>0.94000001134180067</v>
      </c>
    </row>
    <row r="74" spans="2:36">
      <c r="D74" s="60" t="s">
        <v>13</v>
      </c>
      <c r="E74" s="147">
        <v>261742.4</v>
      </c>
      <c r="F74" s="148">
        <v>39261.360000000001</v>
      </c>
      <c r="G74" s="149">
        <v>222481.04</v>
      </c>
      <c r="H74" s="149">
        <v>120139.76</v>
      </c>
      <c r="I74" s="149">
        <v>61182.29</v>
      </c>
      <c r="J74" s="147">
        <v>24917.88</v>
      </c>
      <c r="K74" s="145"/>
      <c r="L74" s="161" t="s">
        <v>13</v>
      </c>
      <c r="M74" s="109">
        <f t="shared" si="52"/>
        <v>248655.27999999997</v>
      </c>
      <c r="N74" s="109">
        <f t="shared" si="49"/>
        <v>37298.292000000001</v>
      </c>
      <c r="O74" s="109">
        <f t="shared" si="49"/>
        <v>211356.98800000001</v>
      </c>
      <c r="P74" s="109">
        <f t="shared" si="49"/>
        <v>114132.77199999998</v>
      </c>
      <c r="Q74" s="109">
        <f t="shared" si="49"/>
        <v>58123.175499999998</v>
      </c>
      <c r="R74" s="109">
        <f t="shared" si="49"/>
        <v>23671.986000000001</v>
      </c>
      <c r="S74" s="145"/>
      <c r="T74" s="66" t="s">
        <v>13</v>
      </c>
      <c r="U74" s="63">
        <v>261742.4</v>
      </c>
      <c r="V74" s="63">
        <v>249278.48</v>
      </c>
      <c r="W74" s="67">
        <v>246037.86</v>
      </c>
      <c r="X74" s="56">
        <f t="shared" si="53"/>
        <v>0.95238096693542973</v>
      </c>
      <c r="Y74" s="57">
        <f>AA74/U73</f>
        <v>6.3613486340704975E-2</v>
      </c>
      <c r="Z74" s="57"/>
      <c r="AA74" s="58">
        <f t="shared" si="55"/>
        <v>15704.540000000008</v>
      </c>
      <c r="AB74" s="58">
        <f t="shared" si="56"/>
        <v>250192.4</v>
      </c>
      <c r="AC74" s="58">
        <v>11550</v>
      </c>
      <c r="AE74" s="8">
        <f>SUM(AB74:AD74)-AA74</f>
        <v>246037.86</v>
      </c>
      <c r="AF74" t="b">
        <f t="shared" si="58"/>
        <v>1</v>
      </c>
      <c r="AG74" s="59">
        <f>SUM(AB74:AD74)</f>
        <v>261742.4</v>
      </c>
      <c r="AH74" t="b">
        <f t="shared" si="50"/>
        <v>1</v>
      </c>
      <c r="AI74" s="58">
        <f t="shared" si="51"/>
        <v>0.95587264424869645</v>
      </c>
      <c r="AJ74" s="58">
        <f t="shared" si="60"/>
        <v>0.94000001528220112</v>
      </c>
    </row>
    <row r="75" spans="2:36">
      <c r="D75" s="60" t="s">
        <v>15</v>
      </c>
      <c r="E75" s="147">
        <v>279793.61</v>
      </c>
      <c r="F75" s="148">
        <v>41969.04</v>
      </c>
      <c r="G75" s="149">
        <v>237824.56</v>
      </c>
      <c r="H75" s="149">
        <v>128425.26</v>
      </c>
      <c r="I75" s="149">
        <v>65401.760000000002</v>
      </c>
      <c r="J75" s="147">
        <v>26636.35</v>
      </c>
      <c r="K75" s="145"/>
      <c r="L75" s="161" t="s">
        <v>15</v>
      </c>
      <c r="M75" s="109">
        <f t="shared" si="52"/>
        <v>265803.92949999997</v>
      </c>
      <c r="N75" s="109">
        <f t="shared" si="49"/>
        <v>39870.587999999996</v>
      </c>
      <c r="O75" s="109">
        <f t="shared" si="49"/>
        <v>225933.33199999999</v>
      </c>
      <c r="P75" s="109">
        <f t="shared" si="49"/>
        <v>122003.99699999999</v>
      </c>
      <c r="Q75" s="109">
        <f t="shared" si="49"/>
        <v>62131.671999999999</v>
      </c>
      <c r="R75" s="109">
        <f t="shared" si="49"/>
        <v>25304.532499999998</v>
      </c>
      <c r="S75" s="145"/>
      <c r="T75" s="66" t="s">
        <v>15</v>
      </c>
      <c r="U75" s="63">
        <v>279793.61</v>
      </c>
      <c r="V75" s="63">
        <v>266470.09999999998</v>
      </c>
      <c r="W75" s="67">
        <v>263005.99</v>
      </c>
      <c r="X75" s="56">
        <f t="shared" si="53"/>
        <v>0.95238093536160451</v>
      </c>
      <c r="Y75" s="57">
        <f>AA75/U74</f>
        <v>6.4137946316683875E-2</v>
      </c>
      <c r="Z75" s="57"/>
      <c r="AA75" s="58">
        <f t="shared" si="55"/>
        <v>16787.619999999995</v>
      </c>
      <c r="AB75" s="58">
        <f t="shared" si="56"/>
        <v>264043.61</v>
      </c>
      <c r="AC75" s="58">
        <v>15750</v>
      </c>
      <c r="AE75" s="8">
        <f>SUM(AB75:AD75)-AA75</f>
        <v>263005.99</v>
      </c>
      <c r="AF75" t="b">
        <f t="shared" si="58"/>
        <v>1</v>
      </c>
      <c r="AG75" s="59">
        <f>SUM(AB75:AD75)</f>
        <v>279793.61</v>
      </c>
      <c r="AH75" t="b">
        <f t="shared" si="50"/>
        <v>1</v>
      </c>
      <c r="AI75" s="58">
        <f t="shared" si="51"/>
        <v>0.94370850713852972</v>
      </c>
      <c r="AJ75" s="58">
        <f t="shared" si="60"/>
        <v>0.93999998784818573</v>
      </c>
    </row>
    <row r="76" spans="2:36">
      <c r="D76" s="162" t="s">
        <v>17</v>
      </c>
      <c r="E76" s="154">
        <v>282978.07</v>
      </c>
      <c r="F76" s="155">
        <v>42446.71</v>
      </c>
      <c r="G76" s="156">
        <v>240531.36</v>
      </c>
      <c r="H76" s="156">
        <v>129886.93</v>
      </c>
      <c r="I76" s="156">
        <v>66146.12</v>
      </c>
      <c r="J76" s="154">
        <v>26939.51</v>
      </c>
      <c r="K76" s="145"/>
      <c r="L76" s="163" t="s">
        <v>17</v>
      </c>
      <c r="M76" s="109">
        <f t="shared" si="52"/>
        <v>268829.16649999999</v>
      </c>
      <c r="N76" s="109">
        <f t="shared" si="49"/>
        <v>40324.374499999998</v>
      </c>
      <c r="O76" s="109">
        <f t="shared" si="49"/>
        <v>228504.79199999999</v>
      </c>
      <c r="P76" s="109">
        <f t="shared" si="49"/>
        <v>123392.58349999999</v>
      </c>
      <c r="Q76" s="109">
        <f t="shared" si="49"/>
        <v>62838.813999999991</v>
      </c>
      <c r="R76" s="109">
        <f t="shared" si="49"/>
        <v>25592.534499999998</v>
      </c>
      <c r="S76" s="145"/>
      <c r="T76" s="175" t="s">
        <v>17</v>
      </c>
      <c r="U76" s="73">
        <v>282978.07</v>
      </c>
      <c r="V76" s="73">
        <v>269502.92</v>
      </c>
      <c r="W76" s="76">
        <v>265999.38</v>
      </c>
      <c r="X76" s="56">
        <f t="shared" si="53"/>
        <v>0.95238093891869424</v>
      </c>
      <c r="Y76" s="57">
        <f>AA76/U75</f>
        <v>6.068290837664235E-2</v>
      </c>
      <c r="Z76" s="57"/>
      <c r="AA76" s="58">
        <f t="shared" si="55"/>
        <v>16978.690000000002</v>
      </c>
      <c r="AB76" s="58">
        <f t="shared" si="56"/>
        <v>264043.62</v>
      </c>
      <c r="AC76" s="58">
        <v>15750</v>
      </c>
      <c r="AD76" s="7">
        <v>3184.45</v>
      </c>
      <c r="AE76" s="8">
        <f>SUM(AB76:AD76)-AA76</f>
        <v>265999.38</v>
      </c>
      <c r="AF76" t="b">
        <f t="shared" si="58"/>
        <v>1</v>
      </c>
      <c r="AG76" s="59">
        <f>SUM(AB76:AD76)</f>
        <v>282978.07</v>
      </c>
      <c r="AH76" t="b">
        <f t="shared" si="50"/>
        <v>1</v>
      </c>
      <c r="AI76" s="58">
        <f t="shared" si="51"/>
        <v>0.94370850915042304</v>
      </c>
      <c r="AJ76" s="58">
        <f t="shared" si="60"/>
        <v>0.93999997950371206</v>
      </c>
    </row>
    <row r="77" spans="2:36">
      <c r="D77" s="83" t="s">
        <v>55</v>
      </c>
      <c r="E77" s="37"/>
      <c r="F77" s="37"/>
      <c r="G77" s="37"/>
      <c r="H77" s="37"/>
      <c r="I77" s="37"/>
      <c r="J77" s="37"/>
      <c r="K77" s="37"/>
      <c r="L77" s="84" t="s">
        <v>55</v>
      </c>
      <c r="M77" s="5"/>
      <c r="N77" s="5"/>
      <c r="O77" s="5"/>
      <c r="P77" s="5"/>
      <c r="Q77" s="5"/>
      <c r="R77" s="5"/>
      <c r="S77" s="37"/>
      <c r="T77" s="3"/>
      <c r="U77" s="3"/>
      <c r="V77" s="3"/>
      <c r="W77" s="6"/>
      <c r="AD77" s="7">
        <f>AD73*0.85*1.12/10</f>
        <v>303.15963999999997</v>
      </c>
    </row>
    <row r="78" spans="2:36" ht="27.95" customHeight="1">
      <c r="D78" s="345" t="s">
        <v>57</v>
      </c>
      <c r="E78" s="345"/>
      <c r="F78" s="345"/>
      <c r="G78" s="345"/>
      <c r="H78" s="345"/>
      <c r="I78" s="345"/>
      <c r="J78" s="345"/>
      <c r="K78" s="81"/>
      <c r="L78" s="328" t="s">
        <v>57</v>
      </c>
      <c r="M78" s="328"/>
      <c r="N78" s="328"/>
      <c r="O78" s="328"/>
      <c r="P78" s="328"/>
      <c r="Q78" s="328"/>
      <c r="R78" s="328"/>
      <c r="S78" s="81"/>
      <c r="T78" s="3"/>
      <c r="U78" s="3"/>
      <c r="V78" s="3"/>
      <c r="W78" s="6"/>
      <c r="AD78" s="7">
        <f>AD73*0.15</f>
        <v>477.66749999999996</v>
      </c>
    </row>
    <row r="79" spans="2:36">
      <c r="D79" s="174"/>
      <c r="E79" s="3"/>
      <c r="F79" s="3"/>
      <c r="G79" s="3"/>
      <c r="H79" s="3"/>
      <c r="I79" s="3"/>
      <c r="J79" s="3"/>
      <c r="K79" s="3"/>
      <c r="L79" s="84"/>
      <c r="M79" s="5"/>
      <c r="N79" s="5"/>
      <c r="O79" s="5"/>
      <c r="P79" s="5"/>
      <c r="Q79" s="5"/>
      <c r="R79" s="5"/>
      <c r="S79" s="3"/>
      <c r="T79" s="3"/>
      <c r="U79" s="3"/>
      <c r="V79" s="3"/>
      <c r="W79" s="6"/>
    </row>
    <row r="80" spans="2:36">
      <c r="B80" s="1" t="s">
        <v>29</v>
      </c>
      <c r="D80" s="174"/>
      <c r="E80" s="3"/>
      <c r="F80" s="3"/>
      <c r="G80" s="3"/>
      <c r="H80" s="3"/>
      <c r="I80" s="3"/>
      <c r="J80" s="3"/>
      <c r="K80" s="3"/>
      <c r="L80" s="84"/>
      <c r="M80" s="5"/>
      <c r="N80" s="5"/>
      <c r="O80" s="5"/>
      <c r="P80" s="5"/>
      <c r="Q80" s="5"/>
      <c r="R80" s="5"/>
      <c r="S80" s="3"/>
      <c r="T80" s="3"/>
      <c r="U80" s="3"/>
      <c r="V80" s="3"/>
      <c r="W80" s="6"/>
    </row>
    <row r="81" spans="2:36" ht="48.75" customHeight="1">
      <c r="D81" s="357" t="s">
        <v>1</v>
      </c>
      <c r="E81" s="357" t="s">
        <v>3</v>
      </c>
      <c r="F81" s="359" t="s">
        <v>38</v>
      </c>
      <c r="G81" s="360"/>
      <c r="H81" s="360"/>
      <c r="I81" s="360"/>
      <c r="J81" s="360"/>
      <c r="K81" s="13"/>
      <c r="L81" s="361" t="s">
        <v>1</v>
      </c>
      <c r="M81" s="361" t="s">
        <v>3</v>
      </c>
      <c r="N81" s="363" t="s">
        <v>38</v>
      </c>
      <c r="O81" s="364"/>
      <c r="P81" s="364"/>
      <c r="Q81" s="364"/>
      <c r="R81" s="364"/>
      <c r="S81" s="13"/>
      <c r="T81" s="14"/>
      <c r="U81" s="15"/>
      <c r="V81" s="3"/>
      <c r="W81" s="6"/>
      <c r="AB81" s="28" t="s">
        <v>48</v>
      </c>
      <c r="AC81" s="29" t="s">
        <v>49</v>
      </c>
      <c r="AD81" s="30" t="s">
        <v>50</v>
      </c>
      <c r="AE81" s="31"/>
      <c r="AI81" s="28"/>
    </row>
    <row r="82" spans="2:36" ht="143.25">
      <c r="D82" s="365"/>
      <c r="E82" s="365"/>
      <c r="F82" s="16" t="s">
        <v>39</v>
      </c>
      <c r="G82" s="17" t="s">
        <v>40</v>
      </c>
      <c r="H82" s="18" t="s">
        <v>41</v>
      </c>
      <c r="I82" s="18" t="s">
        <v>42</v>
      </c>
      <c r="J82" s="19" t="s">
        <v>43</v>
      </c>
      <c r="K82" s="20"/>
      <c r="L82" s="366"/>
      <c r="M82" s="366"/>
      <c r="N82" s="21" t="s">
        <v>39</v>
      </c>
      <c r="O82" s="22" t="s">
        <v>40</v>
      </c>
      <c r="P82" s="23" t="s">
        <v>41</v>
      </c>
      <c r="Q82" s="23" t="s">
        <v>42</v>
      </c>
      <c r="R82" s="24" t="s">
        <v>43</v>
      </c>
      <c r="S82" s="20"/>
      <c r="T82" s="25" t="s">
        <v>1</v>
      </c>
      <c r="U82" s="26" t="s">
        <v>44</v>
      </c>
      <c r="V82" s="26" t="s">
        <v>45</v>
      </c>
      <c r="W82" s="26" t="s">
        <v>46</v>
      </c>
    </row>
    <row r="83" spans="2:36">
      <c r="D83" s="176"/>
      <c r="E83" s="177"/>
      <c r="F83" s="177"/>
      <c r="G83" s="178"/>
      <c r="H83" s="177"/>
      <c r="I83" s="177"/>
      <c r="J83" s="179"/>
      <c r="K83" s="37"/>
      <c r="L83" s="180"/>
      <c r="M83" s="181"/>
      <c r="N83" s="181"/>
      <c r="O83" s="182"/>
      <c r="P83" s="181"/>
      <c r="Q83" s="181"/>
      <c r="R83" s="183"/>
      <c r="S83" s="37"/>
      <c r="T83" s="3"/>
      <c r="U83" s="42"/>
      <c r="V83" s="184"/>
      <c r="W83" s="6"/>
    </row>
    <row r="84" spans="2:36">
      <c r="D84" s="185" t="s">
        <v>7</v>
      </c>
      <c r="E84" s="186">
        <v>189274.72</v>
      </c>
      <c r="F84" s="187">
        <v>28391.21</v>
      </c>
      <c r="G84" s="188">
        <v>160883.51</v>
      </c>
      <c r="H84" s="189">
        <v>86877.1</v>
      </c>
      <c r="I84" s="189">
        <v>44242.97</v>
      </c>
      <c r="J84" s="186">
        <v>18018.95</v>
      </c>
      <c r="K84" s="145"/>
      <c r="L84" s="190" t="s">
        <v>7</v>
      </c>
      <c r="M84" s="109">
        <f>E84*0.95</f>
        <v>179810.984</v>
      </c>
      <c r="N84" s="109">
        <f t="shared" ref="N84:R89" si="61">F84*0.95</f>
        <v>26971.6495</v>
      </c>
      <c r="O84" s="109">
        <f t="shared" si="61"/>
        <v>152839.3345</v>
      </c>
      <c r="P84" s="109">
        <f t="shared" si="61"/>
        <v>82533.244999999995</v>
      </c>
      <c r="Q84" s="109">
        <f t="shared" si="61"/>
        <v>42030.821499999998</v>
      </c>
      <c r="R84" s="109">
        <f t="shared" si="61"/>
        <v>17118.002499999999</v>
      </c>
      <c r="S84" s="145"/>
      <c r="T84" s="54" t="s">
        <v>7</v>
      </c>
      <c r="U84" s="49">
        <v>189274.72</v>
      </c>
      <c r="V84" s="49">
        <v>180261.64</v>
      </c>
      <c r="W84" s="55">
        <v>177918.24</v>
      </c>
      <c r="X84" s="56">
        <f>V84/U84</f>
        <v>0.95238096244443005</v>
      </c>
      <c r="Y84" s="57">
        <f>AA84/U84</f>
        <v>5.9999983093357689E-2</v>
      </c>
      <c r="Z84" s="57"/>
      <c r="AA84" s="58">
        <f t="shared" ref="AA84:AA89" si="62">U84-W84</f>
        <v>11356.48000000001</v>
      </c>
      <c r="AB84" s="58">
        <f t="shared" ref="AB84:AB89" si="63">U84-AC84-AD84</f>
        <v>183499.72</v>
      </c>
      <c r="AC84" s="58">
        <v>5775</v>
      </c>
      <c r="AE84" s="8">
        <f>SUM(AB84:AD84)-AA84</f>
        <v>177918.24</v>
      </c>
      <c r="AF84" t="b">
        <f>AE84=W84</f>
        <v>1</v>
      </c>
      <c r="AG84" s="59">
        <f>SUM(AB84:AD84)</f>
        <v>189274.72</v>
      </c>
      <c r="AH84" t="b">
        <f t="shared" ref="AH84:AH89" si="64">AG84=U84</f>
        <v>1</v>
      </c>
      <c r="AI84" s="58">
        <f t="shared" ref="AI84:AI89" si="65">AB84/(U84-AD84)</f>
        <v>0.9694887938547736</v>
      </c>
      <c r="AJ84" s="58">
        <f>AE84/U84</f>
        <v>0.94000001690664237</v>
      </c>
    </row>
    <row r="85" spans="2:36">
      <c r="D85" s="60" t="s">
        <v>54</v>
      </c>
      <c r="E85" s="147">
        <v>215084.91</v>
      </c>
      <c r="F85" s="148">
        <v>32262.74</v>
      </c>
      <c r="G85" s="149">
        <v>182822.17</v>
      </c>
      <c r="H85" s="149">
        <v>98723.97</v>
      </c>
      <c r="I85" s="149">
        <v>50276.1</v>
      </c>
      <c r="J85" s="147">
        <v>20476.080000000002</v>
      </c>
      <c r="K85" s="145"/>
      <c r="L85" s="161" t="s">
        <v>54</v>
      </c>
      <c r="M85" s="109">
        <f t="shared" ref="M85:M89" si="66">E85*0.95</f>
        <v>204330.66449999998</v>
      </c>
      <c r="N85" s="109">
        <f t="shared" si="61"/>
        <v>30649.602999999999</v>
      </c>
      <c r="O85" s="109">
        <f t="shared" si="61"/>
        <v>173681.06150000001</v>
      </c>
      <c r="P85" s="109">
        <f t="shared" si="61"/>
        <v>93787.771500000003</v>
      </c>
      <c r="Q85" s="109">
        <f t="shared" si="61"/>
        <v>47762.294999999998</v>
      </c>
      <c r="R85" s="109">
        <f t="shared" si="61"/>
        <v>19452.276000000002</v>
      </c>
      <c r="S85" s="145"/>
      <c r="T85" s="66" t="s">
        <v>54</v>
      </c>
      <c r="U85" s="63">
        <v>215084.91</v>
      </c>
      <c r="V85" s="63">
        <v>204842.77</v>
      </c>
      <c r="W85" s="67">
        <v>202179.81</v>
      </c>
      <c r="X85" s="56">
        <f t="shared" ref="X85:X89" si="67">V85/U85</f>
        <v>0.95238094573905718</v>
      </c>
      <c r="Y85" s="57">
        <f t="shared" ref="Y85:Y89" si="68">AA85/U85</f>
        <v>6.0000025106363833E-2</v>
      </c>
      <c r="Z85" s="57"/>
      <c r="AA85" s="58">
        <f t="shared" si="62"/>
        <v>12905.100000000006</v>
      </c>
      <c r="AB85" s="58">
        <f t="shared" si="63"/>
        <v>209309.91</v>
      </c>
      <c r="AC85" s="58">
        <v>5775</v>
      </c>
      <c r="AE85" s="8">
        <f t="shared" ref="AE85:AE89" si="69">SUM(AB85:AD85)-AA85</f>
        <v>202179.81</v>
      </c>
      <c r="AF85" t="b">
        <f t="shared" ref="AF85:AF89" si="70">AE85=W85</f>
        <v>1</v>
      </c>
      <c r="AG85" s="59">
        <f t="shared" ref="AG85:AG89" si="71">SUM(AB85:AD85)</f>
        <v>215084.91</v>
      </c>
      <c r="AH85" t="b">
        <f t="shared" si="64"/>
        <v>1</v>
      </c>
      <c r="AI85" s="58">
        <f t="shared" si="65"/>
        <v>0.97315013870568601</v>
      </c>
      <c r="AJ85" s="58">
        <f t="shared" ref="AJ85:AJ89" si="72">AE85/U85</f>
        <v>0.93999997489363618</v>
      </c>
    </row>
    <row r="86" spans="2:36">
      <c r="D86" s="60" t="s">
        <v>11</v>
      </c>
      <c r="E86" s="147">
        <v>226871.49</v>
      </c>
      <c r="F86" s="148">
        <v>34030.720000000001</v>
      </c>
      <c r="G86" s="149">
        <v>192840.77</v>
      </c>
      <c r="H86" s="149">
        <v>104134.02</v>
      </c>
      <c r="I86" s="149">
        <v>53031.21</v>
      </c>
      <c r="J86" s="147">
        <v>21598.17</v>
      </c>
      <c r="K86" s="145"/>
      <c r="L86" s="161" t="s">
        <v>11</v>
      </c>
      <c r="M86" s="109">
        <f t="shared" si="66"/>
        <v>215527.91549999997</v>
      </c>
      <c r="N86" s="109">
        <f t="shared" si="61"/>
        <v>32329.184000000001</v>
      </c>
      <c r="O86" s="109">
        <f t="shared" si="61"/>
        <v>183198.73149999999</v>
      </c>
      <c r="P86" s="109">
        <f t="shared" si="61"/>
        <v>98927.319000000003</v>
      </c>
      <c r="Q86" s="109">
        <f t="shared" si="61"/>
        <v>50379.6495</v>
      </c>
      <c r="R86" s="109">
        <f t="shared" si="61"/>
        <v>20518.261499999997</v>
      </c>
      <c r="S86" s="145"/>
      <c r="T86" s="66" t="s">
        <v>11</v>
      </c>
      <c r="U86" s="63">
        <v>226871.49</v>
      </c>
      <c r="V86" s="63">
        <v>216068.09</v>
      </c>
      <c r="W86" s="67">
        <v>213259.2</v>
      </c>
      <c r="X86" s="56">
        <f t="shared" si="67"/>
        <v>0.95238097127144539</v>
      </c>
      <c r="Y86" s="57">
        <f t="shared" si="68"/>
        <v>6.0000002644668926E-2</v>
      </c>
      <c r="Z86" s="57"/>
      <c r="AA86" s="58">
        <f t="shared" si="62"/>
        <v>13612.289999999979</v>
      </c>
      <c r="AB86" s="58">
        <f t="shared" si="63"/>
        <v>215287.03999999998</v>
      </c>
      <c r="AC86" s="58">
        <v>8400</v>
      </c>
      <c r="AD86" s="7">
        <v>3184.45</v>
      </c>
      <c r="AE86" s="8">
        <f t="shared" si="69"/>
        <v>213259.2</v>
      </c>
      <c r="AF86" t="b">
        <f t="shared" si="70"/>
        <v>1</v>
      </c>
      <c r="AG86" s="59">
        <f t="shared" si="71"/>
        <v>226871.49</v>
      </c>
      <c r="AH86" t="b">
        <f t="shared" si="64"/>
        <v>1</v>
      </c>
      <c r="AI86" s="58">
        <f t="shared" si="65"/>
        <v>0.96244753384013659</v>
      </c>
      <c r="AJ86" s="58">
        <f t="shared" si="72"/>
        <v>0.93999999735533113</v>
      </c>
    </row>
    <row r="87" spans="2:36">
      <c r="D87" s="60" t="s">
        <v>13</v>
      </c>
      <c r="E87" s="147">
        <v>232291.71</v>
      </c>
      <c r="F87" s="148">
        <v>34843.760000000002</v>
      </c>
      <c r="G87" s="149">
        <v>197447.95</v>
      </c>
      <c r="H87" s="149">
        <v>106621.89</v>
      </c>
      <c r="I87" s="149">
        <v>54298.19</v>
      </c>
      <c r="J87" s="147">
        <v>22114.17</v>
      </c>
      <c r="K87" s="145"/>
      <c r="L87" s="161" t="s">
        <v>13</v>
      </c>
      <c r="M87" s="109">
        <f t="shared" si="66"/>
        <v>220677.12449999998</v>
      </c>
      <c r="N87" s="109">
        <f t="shared" si="61"/>
        <v>33101.572</v>
      </c>
      <c r="O87" s="109">
        <f t="shared" si="61"/>
        <v>187575.55249999999</v>
      </c>
      <c r="P87" s="109">
        <f t="shared" si="61"/>
        <v>101290.79549999999</v>
      </c>
      <c r="Q87" s="109">
        <f t="shared" si="61"/>
        <v>51583.280500000001</v>
      </c>
      <c r="R87" s="109">
        <f t="shared" si="61"/>
        <v>21008.461499999998</v>
      </c>
      <c r="S87" s="145"/>
      <c r="T87" s="66" t="s">
        <v>13</v>
      </c>
      <c r="U87" s="63">
        <v>232291.71</v>
      </c>
      <c r="V87" s="63">
        <v>221230.2</v>
      </c>
      <c r="W87" s="67">
        <v>218354.21</v>
      </c>
      <c r="X87" s="56">
        <f t="shared" si="67"/>
        <v>0.95238095238095244</v>
      </c>
      <c r="Y87" s="57">
        <f t="shared" si="68"/>
        <v>5.9999988807176975E-2</v>
      </c>
      <c r="Z87" s="57"/>
      <c r="AA87" s="58">
        <f t="shared" si="62"/>
        <v>13937.5</v>
      </c>
      <c r="AB87" s="58">
        <f t="shared" si="63"/>
        <v>220741.71</v>
      </c>
      <c r="AC87" s="58">
        <v>11550</v>
      </c>
      <c r="AE87" s="8">
        <f t="shared" si="69"/>
        <v>218354.21</v>
      </c>
      <c r="AF87" t="b">
        <f t="shared" si="70"/>
        <v>1</v>
      </c>
      <c r="AG87" s="59">
        <f t="shared" si="71"/>
        <v>232291.71</v>
      </c>
      <c r="AH87" t="b">
        <f t="shared" si="64"/>
        <v>1</v>
      </c>
      <c r="AI87" s="58">
        <f t="shared" si="65"/>
        <v>0.95027803618131701</v>
      </c>
      <c r="AJ87" s="58">
        <f t="shared" si="72"/>
        <v>0.94000001119282306</v>
      </c>
    </row>
    <row r="88" spans="2:36">
      <c r="D88" s="60" t="s">
        <v>15</v>
      </c>
      <c r="E88" s="147">
        <v>240895.11</v>
      </c>
      <c r="F88" s="148">
        <v>36134.269999999997</v>
      </c>
      <c r="G88" s="149">
        <v>204760.84</v>
      </c>
      <c r="H88" s="149">
        <v>110570.85</v>
      </c>
      <c r="I88" s="149">
        <v>56309.23</v>
      </c>
      <c r="J88" s="147">
        <v>22933.21</v>
      </c>
      <c r="K88" s="145"/>
      <c r="L88" s="161" t="s">
        <v>15</v>
      </c>
      <c r="M88" s="109">
        <f t="shared" si="66"/>
        <v>228850.35449999999</v>
      </c>
      <c r="N88" s="109">
        <f t="shared" si="61"/>
        <v>34327.556499999999</v>
      </c>
      <c r="O88" s="109">
        <f t="shared" si="61"/>
        <v>194522.79799999998</v>
      </c>
      <c r="P88" s="109">
        <f t="shared" si="61"/>
        <v>105042.3075</v>
      </c>
      <c r="Q88" s="109">
        <f t="shared" si="61"/>
        <v>53493.768499999998</v>
      </c>
      <c r="R88" s="109">
        <f t="shared" si="61"/>
        <v>21786.549499999997</v>
      </c>
      <c r="S88" s="145"/>
      <c r="T88" s="66" t="s">
        <v>15</v>
      </c>
      <c r="U88" s="63">
        <v>240895.11</v>
      </c>
      <c r="V88" s="63">
        <v>229423.91</v>
      </c>
      <c r="W88" s="67">
        <v>226441.4</v>
      </c>
      <c r="X88" s="56">
        <f t="shared" si="67"/>
        <v>0.9523809345901626</v>
      </c>
      <c r="Y88" s="57">
        <f t="shared" si="68"/>
        <v>6.0000014114026612E-2</v>
      </c>
      <c r="Z88" s="57"/>
      <c r="AA88" s="58">
        <f t="shared" si="62"/>
        <v>14453.709999999992</v>
      </c>
      <c r="AB88" s="58">
        <f t="shared" si="63"/>
        <v>225145.11</v>
      </c>
      <c r="AC88" s="58">
        <v>15750</v>
      </c>
      <c r="AE88" s="8">
        <f t="shared" si="69"/>
        <v>226441.4</v>
      </c>
      <c r="AF88" t="b">
        <f t="shared" si="70"/>
        <v>1</v>
      </c>
      <c r="AG88" s="59">
        <f t="shared" si="71"/>
        <v>240895.11</v>
      </c>
      <c r="AH88" t="b">
        <f t="shared" si="64"/>
        <v>1</v>
      </c>
      <c r="AI88" s="58">
        <f t="shared" si="65"/>
        <v>0.93461884718207855</v>
      </c>
      <c r="AJ88" s="58">
        <f t="shared" si="72"/>
        <v>0.93999998588597344</v>
      </c>
    </row>
    <row r="89" spans="2:36">
      <c r="D89" s="162" t="s">
        <v>17</v>
      </c>
      <c r="E89" s="154">
        <v>244079.56</v>
      </c>
      <c r="F89" s="155">
        <v>36611.93</v>
      </c>
      <c r="G89" s="156">
        <v>207467.62</v>
      </c>
      <c r="H89" s="156">
        <v>112032.52</v>
      </c>
      <c r="I89" s="156">
        <v>57053.599999999999</v>
      </c>
      <c r="J89" s="154">
        <v>23236.37</v>
      </c>
      <c r="K89" s="145"/>
      <c r="L89" s="163" t="s">
        <v>17</v>
      </c>
      <c r="M89" s="109">
        <f t="shared" si="66"/>
        <v>231875.58199999999</v>
      </c>
      <c r="N89" s="109">
        <f t="shared" si="61"/>
        <v>34781.333500000001</v>
      </c>
      <c r="O89" s="109">
        <f t="shared" si="61"/>
        <v>197094.23899999997</v>
      </c>
      <c r="P89" s="109">
        <f t="shared" si="61"/>
        <v>106430.894</v>
      </c>
      <c r="Q89" s="109">
        <f t="shared" si="61"/>
        <v>54200.92</v>
      </c>
      <c r="R89" s="109">
        <f t="shared" si="61"/>
        <v>22074.551499999998</v>
      </c>
      <c r="S89" s="145"/>
      <c r="T89" s="175" t="s">
        <v>17</v>
      </c>
      <c r="U89" s="73">
        <v>244079.56</v>
      </c>
      <c r="V89" s="73">
        <v>232456.72</v>
      </c>
      <c r="W89" s="76">
        <v>229434.78</v>
      </c>
      <c r="X89" s="56">
        <f t="shared" si="67"/>
        <v>0.95238093677323898</v>
      </c>
      <c r="Y89" s="57">
        <f t="shared" si="68"/>
        <v>6.0000026220958444E-2</v>
      </c>
      <c r="Z89" s="57"/>
      <c r="AA89" s="58">
        <f t="shared" si="62"/>
        <v>14644.779999999999</v>
      </c>
      <c r="AB89" s="58">
        <f t="shared" si="63"/>
        <v>225145.11</v>
      </c>
      <c r="AC89" s="58">
        <v>15750</v>
      </c>
      <c r="AD89" s="7">
        <v>3184.45</v>
      </c>
      <c r="AE89" s="8">
        <f t="shared" si="69"/>
        <v>229434.78</v>
      </c>
      <c r="AF89" t="b">
        <f t="shared" si="70"/>
        <v>1</v>
      </c>
      <c r="AG89" s="59">
        <f t="shared" si="71"/>
        <v>244079.56</v>
      </c>
      <c r="AH89" t="b">
        <f t="shared" si="64"/>
        <v>1</v>
      </c>
      <c r="AI89" s="58">
        <f t="shared" si="65"/>
        <v>0.93461884718207855</v>
      </c>
      <c r="AJ89" s="58">
        <f t="shared" si="72"/>
        <v>0.93999997377904154</v>
      </c>
    </row>
    <row r="90" spans="2:36">
      <c r="D90" s="83" t="s">
        <v>55</v>
      </c>
      <c r="E90" s="37"/>
      <c r="F90" s="37"/>
      <c r="G90" s="37"/>
      <c r="H90" s="37"/>
      <c r="I90" s="37"/>
      <c r="J90" s="37"/>
      <c r="K90" s="37"/>
      <c r="L90" s="84" t="s">
        <v>55</v>
      </c>
      <c r="M90" s="5"/>
      <c r="N90" s="5"/>
      <c r="O90" s="5"/>
      <c r="P90" s="5"/>
      <c r="Q90" s="5"/>
      <c r="R90" s="5"/>
      <c r="S90" s="37"/>
      <c r="T90" s="3"/>
      <c r="U90" s="3"/>
      <c r="V90" s="3"/>
      <c r="W90" s="6"/>
    </row>
    <row r="91" spans="2:36" ht="27.95" customHeight="1">
      <c r="D91" s="345" t="s">
        <v>57</v>
      </c>
      <c r="E91" s="345"/>
      <c r="F91" s="345"/>
      <c r="G91" s="345"/>
      <c r="H91" s="345"/>
      <c r="I91" s="345"/>
      <c r="J91" s="345"/>
      <c r="K91" s="81"/>
      <c r="L91" s="328" t="s">
        <v>57</v>
      </c>
      <c r="M91" s="328"/>
      <c r="N91" s="328"/>
      <c r="O91" s="328"/>
      <c r="P91" s="328"/>
      <c r="Q91" s="328"/>
      <c r="R91" s="328"/>
      <c r="S91" s="81"/>
      <c r="T91" s="3"/>
      <c r="U91" s="3"/>
      <c r="V91" s="3"/>
      <c r="W91" s="6"/>
    </row>
    <row r="92" spans="2:36">
      <c r="D92" s="174"/>
      <c r="E92" s="3"/>
      <c r="F92" s="3"/>
      <c r="G92" s="3"/>
      <c r="H92" s="3"/>
      <c r="I92" s="3"/>
      <c r="J92" s="3"/>
      <c r="K92" s="3"/>
      <c r="L92" s="84"/>
      <c r="M92" s="5"/>
      <c r="N92" s="5"/>
      <c r="O92" s="5"/>
      <c r="P92" s="5"/>
      <c r="Q92" s="5"/>
      <c r="R92" s="5"/>
      <c r="S92" s="3"/>
      <c r="T92" s="3"/>
      <c r="U92" s="3"/>
      <c r="V92" s="3"/>
      <c r="W92" s="6"/>
    </row>
    <row r="93" spans="2:36">
      <c r="B93" s="1" t="s">
        <v>30</v>
      </c>
      <c r="D93" s="174"/>
      <c r="E93" s="3"/>
      <c r="F93" s="3"/>
      <c r="G93" s="3"/>
      <c r="H93" s="3"/>
      <c r="I93" s="3"/>
      <c r="J93" s="3"/>
      <c r="K93" s="3"/>
      <c r="L93" s="84"/>
      <c r="M93" s="5"/>
      <c r="N93" s="5"/>
      <c r="O93" s="5"/>
      <c r="P93" s="5"/>
      <c r="Q93" s="5"/>
      <c r="R93" s="5"/>
      <c r="S93" s="3"/>
      <c r="T93" s="3"/>
      <c r="U93" s="3"/>
      <c r="V93" s="3"/>
      <c r="W93" s="6"/>
    </row>
    <row r="94" spans="2:36" ht="48.75" customHeight="1">
      <c r="D94" s="357" t="s">
        <v>1</v>
      </c>
      <c r="E94" s="357" t="s">
        <v>3</v>
      </c>
      <c r="F94" s="359" t="s">
        <v>38</v>
      </c>
      <c r="G94" s="360"/>
      <c r="H94" s="360"/>
      <c r="I94" s="360"/>
      <c r="J94" s="360"/>
      <c r="K94" s="13"/>
      <c r="L94" s="361" t="s">
        <v>1</v>
      </c>
      <c r="M94" s="361" t="s">
        <v>3</v>
      </c>
      <c r="N94" s="363" t="s">
        <v>38</v>
      </c>
      <c r="O94" s="364"/>
      <c r="P94" s="364"/>
      <c r="Q94" s="364"/>
      <c r="R94" s="364"/>
      <c r="S94" s="13"/>
      <c r="T94" s="14"/>
      <c r="U94" s="15"/>
      <c r="V94" s="3"/>
      <c r="W94" s="6"/>
      <c r="AB94" s="28" t="s">
        <v>48</v>
      </c>
      <c r="AC94" s="29" t="s">
        <v>49</v>
      </c>
      <c r="AD94" s="30" t="s">
        <v>50</v>
      </c>
      <c r="AE94" s="31"/>
      <c r="AI94" s="28"/>
    </row>
    <row r="95" spans="2:36" ht="143.25">
      <c r="D95" s="358"/>
      <c r="E95" s="358"/>
      <c r="F95" s="16" t="s">
        <v>39</v>
      </c>
      <c r="G95" s="17" t="s">
        <v>40</v>
      </c>
      <c r="H95" s="18" t="s">
        <v>41</v>
      </c>
      <c r="I95" s="18" t="s">
        <v>42</v>
      </c>
      <c r="J95" s="19" t="s">
        <v>43</v>
      </c>
      <c r="K95" s="20"/>
      <c r="L95" s="362"/>
      <c r="M95" s="362"/>
      <c r="N95" s="21" t="s">
        <v>39</v>
      </c>
      <c r="O95" s="22" t="s">
        <v>40</v>
      </c>
      <c r="P95" s="23" t="s">
        <v>41</v>
      </c>
      <c r="Q95" s="23" t="s">
        <v>42</v>
      </c>
      <c r="R95" s="24" t="s">
        <v>43</v>
      </c>
      <c r="S95" s="20"/>
      <c r="T95" s="25" t="s">
        <v>1</v>
      </c>
      <c r="U95" s="26" t="s">
        <v>44</v>
      </c>
      <c r="V95" s="26" t="s">
        <v>45</v>
      </c>
      <c r="W95" s="26" t="s">
        <v>46</v>
      </c>
    </row>
    <row r="96" spans="2:36">
      <c r="D96" s="191"/>
      <c r="E96" s="192"/>
      <c r="F96" s="192"/>
      <c r="G96" s="192"/>
      <c r="H96" s="192"/>
      <c r="I96" s="192"/>
      <c r="J96" s="192"/>
      <c r="K96" s="193"/>
      <c r="L96" s="194"/>
      <c r="M96" s="195"/>
      <c r="N96" s="195"/>
      <c r="O96" s="195"/>
      <c r="P96" s="195"/>
      <c r="Q96" s="195"/>
      <c r="R96" s="195"/>
      <c r="S96" s="193"/>
      <c r="T96" s="196"/>
      <c r="U96" s="197"/>
      <c r="V96" s="3"/>
      <c r="W96" s="6"/>
      <c r="Y96" s="57"/>
      <c r="Z96" s="57"/>
      <c r="AA96" s="58"/>
      <c r="AB96" s="58"/>
      <c r="AC96" s="58"/>
      <c r="AG96" s="59"/>
      <c r="AI96" s="58"/>
    </row>
    <row r="97" spans="2:36">
      <c r="D97" s="46" t="s">
        <v>7</v>
      </c>
      <c r="E97" s="198">
        <v>149931.4</v>
      </c>
      <c r="F97" s="199">
        <v>22489.71</v>
      </c>
      <c r="G97" s="200">
        <v>127441.69</v>
      </c>
      <c r="H97" s="201">
        <v>68818.509999999995</v>
      </c>
      <c r="I97" s="201">
        <v>35046.46</v>
      </c>
      <c r="J97" s="202">
        <v>14273.47</v>
      </c>
      <c r="K97" s="171"/>
      <c r="L97" s="160" t="s">
        <v>7</v>
      </c>
      <c r="M97" s="109">
        <f>E97*0.95</f>
        <v>142434.82999999999</v>
      </c>
      <c r="N97" s="109">
        <f t="shared" ref="N97:R105" si="73">F97*0.95</f>
        <v>21365.224499999997</v>
      </c>
      <c r="O97" s="109">
        <f t="shared" si="73"/>
        <v>121069.60549999999</v>
      </c>
      <c r="P97" s="109">
        <f t="shared" si="73"/>
        <v>65377.58449999999</v>
      </c>
      <c r="Q97" s="109">
        <f t="shared" si="73"/>
        <v>33294.136999999995</v>
      </c>
      <c r="R97" s="109">
        <f t="shared" si="73"/>
        <v>13559.796499999999</v>
      </c>
      <c r="S97" s="171"/>
      <c r="T97" s="54" t="s">
        <v>7</v>
      </c>
      <c r="U97" s="203">
        <v>149931.4</v>
      </c>
      <c r="V97" s="204">
        <v>142791.81</v>
      </c>
      <c r="W97" s="55">
        <v>140935.51999999999</v>
      </c>
      <c r="X97" s="56">
        <f>V97/U97</f>
        <v>0.95238095555700808</v>
      </c>
      <c r="Y97" s="57">
        <f t="shared" ref="Y97:Y105" si="74">AA97/U97</f>
        <v>5.999997332113223E-2</v>
      </c>
      <c r="Z97" s="57"/>
      <c r="AA97" s="58">
        <f t="shared" ref="AA97:AA105" si="75">U97-W97</f>
        <v>8995.8800000000047</v>
      </c>
      <c r="AB97" s="58">
        <f t="shared" ref="AB97:AB105" si="76">U97-AC97-AD97</f>
        <v>144156.4</v>
      </c>
      <c r="AC97" s="58">
        <v>5775</v>
      </c>
      <c r="AE97" s="8">
        <f>SUM(AB97:AD97)-AA97</f>
        <v>140935.51999999999</v>
      </c>
      <c r="AF97" t="b">
        <f>AE97=W97</f>
        <v>1</v>
      </c>
      <c r="AG97" s="59">
        <f>SUM(AB97:AD97)</f>
        <v>149931.4</v>
      </c>
      <c r="AH97" t="b">
        <f t="shared" ref="AH97:AH105" si="77">AG97=U97</f>
        <v>1</v>
      </c>
      <c r="AI97" s="58">
        <f t="shared" ref="AI97:AI105" si="78">AB97/(U97-AD97)</f>
        <v>0.9614823846105619</v>
      </c>
      <c r="AJ97" s="58">
        <f>AE97/U97</f>
        <v>0.94000002667886773</v>
      </c>
    </row>
    <row r="98" spans="2:36">
      <c r="D98" s="165" t="s">
        <v>54</v>
      </c>
      <c r="E98" s="166">
        <v>180818.87</v>
      </c>
      <c r="F98" s="167">
        <v>27122.83</v>
      </c>
      <c r="G98" s="168">
        <v>153696.04</v>
      </c>
      <c r="H98" s="169">
        <v>82995.86</v>
      </c>
      <c r="I98" s="169">
        <v>42266.41</v>
      </c>
      <c r="J98" s="170">
        <v>17213.96</v>
      </c>
      <c r="K98" s="171"/>
      <c r="L98" s="150" t="s">
        <v>54</v>
      </c>
      <c r="M98" s="109">
        <f t="shared" ref="M98:M105" si="79">E98*0.95</f>
        <v>171777.9265</v>
      </c>
      <c r="N98" s="109">
        <f t="shared" si="73"/>
        <v>25766.6885</v>
      </c>
      <c r="O98" s="109">
        <f t="shared" si="73"/>
        <v>146011.23800000001</v>
      </c>
      <c r="P98" s="109">
        <f t="shared" si="73"/>
        <v>78846.066999999995</v>
      </c>
      <c r="Q98" s="109">
        <f t="shared" si="73"/>
        <v>40153.089500000002</v>
      </c>
      <c r="R98" s="109">
        <f t="shared" si="73"/>
        <v>16353.261999999999</v>
      </c>
      <c r="S98" s="171"/>
      <c r="T98" s="151" t="s">
        <v>54</v>
      </c>
      <c r="U98" s="172">
        <v>180818.87</v>
      </c>
      <c r="V98" s="173">
        <v>172208.45</v>
      </c>
      <c r="W98" s="67">
        <v>169969.74</v>
      </c>
      <c r="X98" s="56">
        <f t="shared" ref="X98:X105" si="80">V98/U98</f>
        <v>0.95238096554856255</v>
      </c>
      <c r="Y98" s="57">
        <f t="shared" si="74"/>
        <v>5.9999987833128286E-2</v>
      </c>
      <c r="Z98" s="57"/>
      <c r="AA98" s="58">
        <f t="shared" si="75"/>
        <v>10849.130000000005</v>
      </c>
      <c r="AB98" s="58">
        <f t="shared" si="76"/>
        <v>175043.87</v>
      </c>
      <c r="AC98" s="58">
        <v>5775</v>
      </c>
      <c r="AE98" s="8">
        <f t="shared" ref="AE98:AE105" si="81">SUM(AB98:AD98)-AA98</f>
        <v>169969.74</v>
      </c>
      <c r="AF98" t="b">
        <f t="shared" ref="AF98:AF105" si="82">AE98=W98</f>
        <v>1</v>
      </c>
      <c r="AG98" s="59">
        <f t="shared" ref="AG98:AG105" si="83">SUM(AB98:AD98)</f>
        <v>180818.87</v>
      </c>
      <c r="AH98" t="b">
        <f t="shared" si="77"/>
        <v>1</v>
      </c>
      <c r="AI98" s="58">
        <f t="shared" si="78"/>
        <v>0.96806196167468583</v>
      </c>
      <c r="AJ98" s="58">
        <f t="shared" ref="AJ98:AJ105" si="84">AE98/U98</f>
        <v>0.94000001216687168</v>
      </c>
    </row>
    <row r="99" spans="2:36">
      <c r="D99" s="165" t="s">
        <v>11</v>
      </c>
      <c r="E99" s="166">
        <v>205893.65</v>
      </c>
      <c r="F99" s="167">
        <v>30884.05</v>
      </c>
      <c r="G99" s="168">
        <v>175009.6</v>
      </c>
      <c r="H99" s="169">
        <v>94505.19</v>
      </c>
      <c r="I99" s="169">
        <v>48127.64</v>
      </c>
      <c r="J99" s="170">
        <v>19601.080000000002</v>
      </c>
      <c r="K99" s="171"/>
      <c r="L99" s="150" t="s">
        <v>11</v>
      </c>
      <c r="M99" s="109">
        <f t="shared" si="79"/>
        <v>195598.9675</v>
      </c>
      <c r="N99" s="109">
        <f t="shared" si="73"/>
        <v>29339.847499999996</v>
      </c>
      <c r="O99" s="109">
        <f t="shared" si="73"/>
        <v>166259.12</v>
      </c>
      <c r="P99" s="109">
        <f t="shared" si="73"/>
        <v>89779.930500000002</v>
      </c>
      <c r="Q99" s="109">
        <f t="shared" si="73"/>
        <v>45721.257999999994</v>
      </c>
      <c r="R99" s="109">
        <f t="shared" si="73"/>
        <v>18621.026000000002</v>
      </c>
      <c r="S99" s="171"/>
      <c r="T99" s="151" t="s">
        <v>11</v>
      </c>
      <c r="U99" s="172">
        <v>205893.65</v>
      </c>
      <c r="V99" s="173">
        <v>196089.19</v>
      </c>
      <c r="W99" s="67">
        <v>193540.03</v>
      </c>
      <c r="X99" s="56">
        <f t="shared" si="80"/>
        <v>0.95238095006815415</v>
      </c>
      <c r="Y99" s="57">
        <f t="shared" si="74"/>
        <v>6.0000004856876329E-2</v>
      </c>
      <c r="Z99" s="57"/>
      <c r="AA99" s="58">
        <f t="shared" si="75"/>
        <v>12353.619999999995</v>
      </c>
      <c r="AB99" s="58">
        <f t="shared" si="76"/>
        <v>194309.19999999998</v>
      </c>
      <c r="AC99" s="58">
        <v>8400</v>
      </c>
      <c r="AD99" s="7">
        <v>3184.45</v>
      </c>
      <c r="AE99" s="8">
        <f t="shared" si="81"/>
        <v>193540.03</v>
      </c>
      <c r="AF99" t="b">
        <f t="shared" si="82"/>
        <v>1</v>
      </c>
      <c r="AG99" s="59">
        <f t="shared" si="83"/>
        <v>205893.65</v>
      </c>
      <c r="AH99" t="b">
        <f t="shared" si="77"/>
        <v>1</v>
      </c>
      <c r="AI99" s="58">
        <f t="shared" si="78"/>
        <v>0.95856132824755858</v>
      </c>
      <c r="AJ99" s="58">
        <f t="shared" si="84"/>
        <v>0.93999999514312371</v>
      </c>
    </row>
    <row r="100" spans="2:36">
      <c r="D100" s="165" t="s">
        <v>13</v>
      </c>
      <c r="E100" s="166">
        <v>213656.27</v>
      </c>
      <c r="F100" s="167">
        <v>32048.44</v>
      </c>
      <c r="G100" s="168">
        <v>181607.83</v>
      </c>
      <c r="H100" s="169">
        <v>98068.23</v>
      </c>
      <c r="I100" s="169">
        <v>49942.15</v>
      </c>
      <c r="J100" s="170">
        <v>20340.080000000002</v>
      </c>
      <c r="K100" s="171"/>
      <c r="L100" s="150" t="s">
        <v>13</v>
      </c>
      <c r="M100" s="109">
        <f t="shared" si="79"/>
        <v>202973.45649999997</v>
      </c>
      <c r="N100" s="109">
        <f t="shared" si="73"/>
        <v>30446.017999999996</v>
      </c>
      <c r="O100" s="109">
        <f t="shared" si="73"/>
        <v>172527.43849999999</v>
      </c>
      <c r="P100" s="109">
        <f t="shared" si="73"/>
        <v>93164.818499999994</v>
      </c>
      <c r="Q100" s="109">
        <f t="shared" si="73"/>
        <v>47445.042499999996</v>
      </c>
      <c r="R100" s="109">
        <f t="shared" si="73"/>
        <v>19323.076000000001</v>
      </c>
      <c r="S100" s="171"/>
      <c r="T100" s="151" t="s">
        <v>13</v>
      </c>
      <c r="U100" s="172">
        <v>213656.27</v>
      </c>
      <c r="V100" s="173">
        <v>203482.16</v>
      </c>
      <c r="W100" s="67">
        <v>200836.89</v>
      </c>
      <c r="X100" s="56">
        <f t="shared" si="80"/>
        <v>0.95238094346587632</v>
      </c>
      <c r="Y100" s="57">
        <f t="shared" si="74"/>
        <v>6.0000017785576697E-2</v>
      </c>
      <c r="Z100" s="57"/>
      <c r="AA100" s="58">
        <f t="shared" si="75"/>
        <v>12819.379999999976</v>
      </c>
      <c r="AB100" s="58">
        <f t="shared" si="76"/>
        <v>202106.27</v>
      </c>
      <c r="AC100" s="58">
        <v>11550</v>
      </c>
      <c r="AE100" s="8">
        <f t="shared" si="81"/>
        <v>200836.89</v>
      </c>
      <c r="AF100" t="b">
        <f t="shared" si="82"/>
        <v>1</v>
      </c>
      <c r="AG100" s="59">
        <f t="shared" si="83"/>
        <v>213656.27</v>
      </c>
      <c r="AH100" t="b">
        <f t="shared" si="77"/>
        <v>1</v>
      </c>
      <c r="AI100" s="58">
        <f t="shared" si="78"/>
        <v>0.94594120734205456</v>
      </c>
      <c r="AJ100" s="58">
        <f t="shared" si="84"/>
        <v>0.93999998221442327</v>
      </c>
    </row>
    <row r="101" spans="2:36">
      <c r="D101" s="165" t="s">
        <v>15</v>
      </c>
      <c r="E101" s="166">
        <v>218631.63</v>
      </c>
      <c r="F101" s="167">
        <v>32794.74</v>
      </c>
      <c r="G101" s="168">
        <v>185836.89</v>
      </c>
      <c r="H101" s="169">
        <v>100351.92</v>
      </c>
      <c r="I101" s="169">
        <v>51105.14</v>
      </c>
      <c r="J101" s="170">
        <v>20813.73</v>
      </c>
      <c r="K101" s="171"/>
      <c r="L101" s="150" t="s">
        <v>15</v>
      </c>
      <c r="M101" s="109">
        <f t="shared" si="79"/>
        <v>207700.0485</v>
      </c>
      <c r="N101" s="109">
        <f t="shared" si="73"/>
        <v>31155.002999999997</v>
      </c>
      <c r="O101" s="109">
        <f t="shared" si="73"/>
        <v>176545.04550000001</v>
      </c>
      <c r="P101" s="109">
        <f t="shared" si="73"/>
        <v>95334.323999999993</v>
      </c>
      <c r="Q101" s="109">
        <f t="shared" si="73"/>
        <v>48549.882999999994</v>
      </c>
      <c r="R101" s="109">
        <f t="shared" si="73"/>
        <v>19773.0435</v>
      </c>
      <c r="S101" s="171"/>
      <c r="T101" s="151" t="s">
        <v>15</v>
      </c>
      <c r="U101" s="172">
        <v>218631.63</v>
      </c>
      <c r="V101" s="173">
        <v>208220.6</v>
      </c>
      <c r="W101" s="67">
        <v>205513.73</v>
      </c>
      <c r="X101" s="56">
        <f t="shared" si="80"/>
        <v>0.95238095238095244</v>
      </c>
      <c r="Y101" s="57">
        <f t="shared" si="74"/>
        <v>6.00000100625879E-2</v>
      </c>
      <c r="Z101" s="57"/>
      <c r="AA101" s="58">
        <f t="shared" si="75"/>
        <v>13117.899999999994</v>
      </c>
      <c r="AB101" s="58">
        <f t="shared" si="76"/>
        <v>202881.63</v>
      </c>
      <c r="AC101" s="58">
        <v>15750</v>
      </c>
      <c r="AE101" s="8">
        <f t="shared" si="81"/>
        <v>205513.73</v>
      </c>
      <c r="AF101" t="b">
        <f t="shared" si="82"/>
        <v>1</v>
      </c>
      <c r="AG101" s="59">
        <f t="shared" si="83"/>
        <v>218631.63</v>
      </c>
      <c r="AH101" t="b">
        <f t="shared" si="77"/>
        <v>1</v>
      </c>
      <c r="AI101" s="58">
        <f t="shared" si="78"/>
        <v>0.92796101826620425</v>
      </c>
      <c r="AJ101" s="58">
        <f t="shared" si="84"/>
        <v>0.93999998993741207</v>
      </c>
    </row>
    <row r="102" spans="2:36">
      <c r="D102" s="165" t="s">
        <v>17</v>
      </c>
      <c r="E102" s="166">
        <v>221814.81</v>
      </c>
      <c r="F102" s="167">
        <v>33272.22</v>
      </c>
      <c r="G102" s="168">
        <v>188542.59</v>
      </c>
      <c r="H102" s="169">
        <v>101813</v>
      </c>
      <c r="I102" s="169">
        <v>51849.21</v>
      </c>
      <c r="J102" s="170">
        <v>21116.77</v>
      </c>
      <c r="K102" s="171"/>
      <c r="L102" s="150" t="s">
        <v>17</v>
      </c>
      <c r="M102" s="109">
        <f t="shared" si="79"/>
        <v>210724.06949999998</v>
      </c>
      <c r="N102" s="109">
        <f t="shared" si="73"/>
        <v>31608.609</v>
      </c>
      <c r="O102" s="109">
        <f t="shared" si="73"/>
        <v>179115.46049999999</v>
      </c>
      <c r="P102" s="109">
        <f t="shared" si="73"/>
        <v>96722.349999999991</v>
      </c>
      <c r="Q102" s="109">
        <f t="shared" si="73"/>
        <v>49256.749499999998</v>
      </c>
      <c r="R102" s="109">
        <f t="shared" si="73"/>
        <v>20060.931499999999</v>
      </c>
      <c r="S102" s="171"/>
      <c r="T102" s="151" t="s">
        <v>17</v>
      </c>
      <c r="U102" s="172">
        <v>221814.81</v>
      </c>
      <c r="V102" s="173">
        <v>211252.2</v>
      </c>
      <c r="W102" s="67">
        <v>208505.92</v>
      </c>
      <c r="X102" s="56">
        <f t="shared" si="80"/>
        <v>0.95238095238095244</v>
      </c>
      <c r="Y102" s="57">
        <f t="shared" si="74"/>
        <v>6.0000006311571284E-2</v>
      </c>
      <c r="Z102" s="57"/>
      <c r="AA102" s="58">
        <f t="shared" si="75"/>
        <v>13308.889999999985</v>
      </c>
      <c r="AB102" s="58">
        <f t="shared" si="76"/>
        <v>202880.36</v>
      </c>
      <c r="AC102" s="58">
        <v>15750</v>
      </c>
      <c r="AD102" s="7">
        <v>3184.45</v>
      </c>
      <c r="AE102" s="8">
        <f t="shared" si="81"/>
        <v>208505.92</v>
      </c>
      <c r="AF102" t="b">
        <f t="shared" si="82"/>
        <v>1</v>
      </c>
      <c r="AG102" s="59">
        <f t="shared" si="83"/>
        <v>221814.81</v>
      </c>
      <c r="AH102" t="b">
        <f t="shared" si="77"/>
        <v>1</v>
      </c>
      <c r="AI102" s="58">
        <f t="shared" si="78"/>
        <v>0.92796059979958867</v>
      </c>
      <c r="AJ102" s="58">
        <f t="shared" si="84"/>
        <v>0.93999999368842868</v>
      </c>
    </row>
    <row r="103" spans="2:36">
      <c r="D103" s="165" t="s">
        <v>19</v>
      </c>
      <c r="E103" s="166">
        <v>229563.21</v>
      </c>
      <c r="F103" s="167">
        <v>34434.480000000003</v>
      </c>
      <c r="G103" s="168">
        <v>195128.73</v>
      </c>
      <c r="H103" s="169">
        <v>105369.51</v>
      </c>
      <c r="I103" s="169">
        <v>53660.4</v>
      </c>
      <c r="J103" s="170">
        <v>21854.42</v>
      </c>
      <c r="K103" s="171"/>
      <c r="L103" s="150" t="s">
        <v>19</v>
      </c>
      <c r="M103" s="109">
        <f t="shared" si="79"/>
        <v>218085.04949999999</v>
      </c>
      <c r="N103" s="109">
        <f t="shared" si="73"/>
        <v>32712.756000000001</v>
      </c>
      <c r="O103" s="109">
        <f t="shared" si="73"/>
        <v>185372.2935</v>
      </c>
      <c r="P103" s="109">
        <f t="shared" si="73"/>
        <v>100101.03449999999</v>
      </c>
      <c r="Q103" s="109">
        <f t="shared" si="73"/>
        <v>50977.38</v>
      </c>
      <c r="R103" s="109">
        <f t="shared" si="73"/>
        <v>20761.698999999997</v>
      </c>
      <c r="S103" s="171"/>
      <c r="T103" s="151" t="s">
        <v>19</v>
      </c>
      <c r="U103" s="172">
        <v>229563.21</v>
      </c>
      <c r="V103" s="173">
        <v>218631.63</v>
      </c>
      <c r="W103" s="67">
        <v>215789.42</v>
      </c>
      <c r="X103" s="56">
        <f>V103/U103</f>
        <v>0.95238095860395056</v>
      </c>
      <c r="Y103" s="57">
        <f t="shared" si="74"/>
        <v>5.9999988674143301E-2</v>
      </c>
      <c r="Z103" s="57"/>
      <c r="AA103" s="58">
        <f t="shared" si="75"/>
        <v>13773.789999999979</v>
      </c>
      <c r="AB103" s="58">
        <f t="shared" si="76"/>
        <v>212763.21</v>
      </c>
      <c r="AC103" s="58">
        <v>16800</v>
      </c>
      <c r="AE103" s="8">
        <f t="shared" si="81"/>
        <v>215789.42</v>
      </c>
      <c r="AF103" t="b">
        <f t="shared" si="82"/>
        <v>1</v>
      </c>
      <c r="AG103" s="59">
        <f t="shared" si="83"/>
        <v>229563.21</v>
      </c>
      <c r="AH103" t="b">
        <f t="shared" si="77"/>
        <v>1</v>
      </c>
      <c r="AI103" s="58">
        <f t="shared" si="78"/>
        <v>0.92681754188748278</v>
      </c>
      <c r="AJ103" s="58">
        <f t="shared" si="84"/>
        <v>0.94000001132585675</v>
      </c>
    </row>
    <row r="104" spans="2:36">
      <c r="D104" s="165" t="s">
        <v>21</v>
      </c>
      <c r="E104" s="166">
        <v>234154.47</v>
      </c>
      <c r="F104" s="167">
        <v>35123.17</v>
      </c>
      <c r="G104" s="168">
        <v>199031.3</v>
      </c>
      <c r="H104" s="169">
        <v>107476.9</v>
      </c>
      <c r="I104" s="169">
        <v>54733.61</v>
      </c>
      <c r="J104" s="170">
        <v>22291.51</v>
      </c>
      <c r="K104" s="171"/>
      <c r="L104" s="150" t="s">
        <v>21</v>
      </c>
      <c r="M104" s="109">
        <f t="shared" si="79"/>
        <v>222446.74649999998</v>
      </c>
      <c r="N104" s="109">
        <f t="shared" si="73"/>
        <v>33367.011499999993</v>
      </c>
      <c r="O104" s="109">
        <f t="shared" si="73"/>
        <v>189079.73499999999</v>
      </c>
      <c r="P104" s="109">
        <f t="shared" si="73"/>
        <v>102103.05499999999</v>
      </c>
      <c r="Q104" s="109">
        <f t="shared" si="73"/>
        <v>51996.929499999998</v>
      </c>
      <c r="R104" s="109">
        <f t="shared" si="73"/>
        <v>21176.934499999996</v>
      </c>
      <c r="S104" s="171"/>
      <c r="T104" s="151" t="s">
        <v>21</v>
      </c>
      <c r="U104" s="172">
        <v>234154.47</v>
      </c>
      <c r="V104" s="173">
        <v>223004.26</v>
      </c>
      <c r="W104" s="67">
        <v>220105.2</v>
      </c>
      <c r="X104" s="56">
        <f t="shared" si="80"/>
        <v>0.95238096458290977</v>
      </c>
      <c r="Y104" s="57">
        <f t="shared" si="74"/>
        <v>6.0000007687233091E-2</v>
      </c>
      <c r="Z104" s="57"/>
      <c r="AA104" s="58">
        <f t="shared" si="75"/>
        <v>14049.26999999999</v>
      </c>
      <c r="AB104" s="58">
        <f t="shared" si="76"/>
        <v>217354.47</v>
      </c>
      <c r="AC104" s="58">
        <v>16800</v>
      </c>
      <c r="AE104" s="8">
        <f t="shared" si="81"/>
        <v>220105.2</v>
      </c>
      <c r="AF104" t="b">
        <f t="shared" si="82"/>
        <v>1</v>
      </c>
      <c r="AG104" s="59">
        <f t="shared" si="83"/>
        <v>234154.47</v>
      </c>
      <c r="AH104" t="b">
        <f t="shared" si="77"/>
        <v>1</v>
      </c>
      <c r="AI104" s="58">
        <f t="shared" si="78"/>
        <v>0.92825249075962546</v>
      </c>
      <c r="AJ104" s="58">
        <f t="shared" si="84"/>
        <v>0.93999999231276687</v>
      </c>
    </row>
    <row r="105" spans="2:36">
      <c r="D105" s="205" t="s">
        <v>23</v>
      </c>
      <c r="E105" s="206">
        <v>237338.92</v>
      </c>
      <c r="F105" s="207">
        <v>35600.839999999997</v>
      </c>
      <c r="G105" s="208">
        <v>201738.08</v>
      </c>
      <c r="H105" s="209">
        <v>108938.57</v>
      </c>
      <c r="I105" s="209">
        <v>55477.97</v>
      </c>
      <c r="J105" s="210">
        <v>22594.67</v>
      </c>
      <c r="K105" s="171"/>
      <c r="L105" s="211" t="s">
        <v>23</v>
      </c>
      <c r="M105" s="109">
        <f t="shared" si="79"/>
        <v>225471.97399999999</v>
      </c>
      <c r="N105" s="109">
        <f t="shared" si="73"/>
        <v>33820.797999999995</v>
      </c>
      <c r="O105" s="109">
        <f t="shared" si="73"/>
        <v>191651.17599999998</v>
      </c>
      <c r="P105" s="109">
        <f t="shared" si="73"/>
        <v>103491.6415</v>
      </c>
      <c r="Q105" s="109">
        <f t="shared" si="73"/>
        <v>52704.071499999998</v>
      </c>
      <c r="R105" s="109">
        <f t="shared" si="73"/>
        <v>21464.936499999996</v>
      </c>
      <c r="S105" s="171"/>
      <c r="T105" s="164" t="s">
        <v>23</v>
      </c>
      <c r="U105" s="212">
        <v>237338.92</v>
      </c>
      <c r="V105" s="213">
        <v>226037.07</v>
      </c>
      <c r="W105" s="76">
        <v>223098.59</v>
      </c>
      <c r="X105" s="56">
        <f t="shared" si="80"/>
        <v>0.95238096642556558</v>
      </c>
      <c r="Y105" s="57">
        <f t="shared" si="74"/>
        <v>5.9999978090403444E-2</v>
      </c>
      <c r="Z105" s="57"/>
      <c r="AA105" s="58">
        <f t="shared" si="75"/>
        <v>14240.330000000016</v>
      </c>
      <c r="AB105" s="58">
        <f t="shared" si="76"/>
        <v>217354.47</v>
      </c>
      <c r="AC105" s="58">
        <v>16800</v>
      </c>
      <c r="AD105" s="7">
        <v>3184.45</v>
      </c>
      <c r="AE105" s="8">
        <f t="shared" si="81"/>
        <v>223098.59</v>
      </c>
      <c r="AF105" t="b">
        <f t="shared" si="82"/>
        <v>1</v>
      </c>
      <c r="AG105" s="59">
        <f t="shared" si="83"/>
        <v>237338.92</v>
      </c>
      <c r="AH105" t="b">
        <f t="shared" si="77"/>
        <v>1</v>
      </c>
      <c r="AI105" s="58">
        <f t="shared" si="78"/>
        <v>0.92825249075962546</v>
      </c>
      <c r="AJ105" s="58">
        <f t="shared" si="84"/>
        <v>0.94000002190959653</v>
      </c>
    </row>
    <row r="106" spans="2:36">
      <c r="D106" s="83" t="s">
        <v>55</v>
      </c>
      <c r="E106" s="37"/>
      <c r="F106" s="37"/>
      <c r="G106" s="37"/>
      <c r="H106" s="37"/>
      <c r="I106" s="37"/>
      <c r="J106" s="37"/>
      <c r="K106" s="37"/>
      <c r="L106" s="84" t="s">
        <v>55</v>
      </c>
      <c r="M106" s="5"/>
      <c r="N106" s="5"/>
      <c r="O106" s="5"/>
      <c r="P106" s="5"/>
      <c r="Q106" s="5"/>
      <c r="R106" s="5"/>
      <c r="S106" s="37"/>
      <c r="T106" s="3"/>
      <c r="U106" s="3"/>
      <c r="V106" s="3"/>
      <c r="W106" s="6"/>
      <c r="X106" s="56"/>
    </row>
    <row r="107" spans="2:36">
      <c r="D107" s="83" t="s">
        <v>56</v>
      </c>
      <c r="E107" s="37"/>
      <c r="F107" s="37"/>
      <c r="G107" s="37"/>
      <c r="H107" s="37"/>
      <c r="I107" s="37"/>
      <c r="J107" s="37"/>
      <c r="K107" s="37"/>
      <c r="L107" s="84" t="s">
        <v>56</v>
      </c>
      <c r="M107" s="5"/>
      <c r="N107" s="5"/>
      <c r="O107" s="5"/>
      <c r="P107" s="5"/>
      <c r="Q107" s="5"/>
      <c r="R107" s="5"/>
      <c r="S107" s="37"/>
      <c r="T107" s="3"/>
      <c r="U107" s="3"/>
      <c r="V107" s="3"/>
      <c r="W107" s="6"/>
    </row>
    <row r="108" spans="2:36" ht="27.95" customHeight="1">
      <c r="D108" s="345" t="s">
        <v>57</v>
      </c>
      <c r="E108" s="345"/>
      <c r="F108" s="345"/>
      <c r="G108" s="345"/>
      <c r="H108" s="345"/>
      <c r="I108" s="345"/>
      <c r="J108" s="345"/>
      <c r="K108" s="81"/>
      <c r="L108" s="328" t="s">
        <v>57</v>
      </c>
      <c r="M108" s="328"/>
      <c r="N108" s="328"/>
      <c r="O108" s="328"/>
      <c r="P108" s="328"/>
      <c r="Q108" s="328"/>
      <c r="R108" s="328"/>
      <c r="S108" s="81"/>
      <c r="T108" s="3"/>
      <c r="U108" s="3"/>
      <c r="V108" s="3"/>
      <c r="W108" s="6"/>
    </row>
    <row r="109" spans="2:36">
      <c r="D109" s="83"/>
      <c r="E109" s="138"/>
      <c r="F109" s="138"/>
      <c r="G109" s="138"/>
      <c r="H109" s="138"/>
      <c r="I109" s="138"/>
      <c r="J109" s="138"/>
      <c r="K109" s="138"/>
      <c r="L109" s="84"/>
      <c r="M109" s="214"/>
      <c r="N109" s="214"/>
      <c r="O109" s="214"/>
      <c r="P109" s="214"/>
      <c r="Q109" s="214"/>
      <c r="R109" s="214"/>
      <c r="S109" s="138"/>
      <c r="T109" s="3"/>
      <c r="U109" s="138"/>
      <c r="V109" s="3"/>
      <c r="W109" s="6"/>
    </row>
    <row r="110" spans="2:36" ht="18.75" customHeight="1">
      <c r="B110" s="1" t="s">
        <v>31</v>
      </c>
      <c r="D110" s="357" t="s">
        <v>1</v>
      </c>
      <c r="E110" s="357" t="s">
        <v>3</v>
      </c>
      <c r="F110" s="359" t="s">
        <v>38</v>
      </c>
      <c r="G110" s="360"/>
      <c r="H110" s="360"/>
      <c r="I110" s="360"/>
      <c r="J110" s="360"/>
      <c r="K110" s="13"/>
      <c r="L110" s="361" t="s">
        <v>1</v>
      </c>
      <c r="M110" s="361" t="s">
        <v>3</v>
      </c>
      <c r="N110" s="363" t="s">
        <v>38</v>
      </c>
      <c r="O110" s="364"/>
      <c r="P110" s="364"/>
      <c r="Q110" s="364"/>
      <c r="R110" s="364"/>
      <c r="S110" s="13"/>
      <c r="T110" s="14"/>
      <c r="U110" s="15"/>
      <c r="V110" s="3"/>
      <c r="W110" s="6"/>
    </row>
    <row r="111" spans="2:36" ht="143.25">
      <c r="D111" s="358"/>
      <c r="E111" s="358"/>
      <c r="F111" s="16" t="s">
        <v>39</v>
      </c>
      <c r="G111" s="17" t="s">
        <v>40</v>
      </c>
      <c r="H111" s="18" t="s">
        <v>41</v>
      </c>
      <c r="I111" s="18" t="s">
        <v>42</v>
      </c>
      <c r="J111" s="19" t="s">
        <v>43</v>
      </c>
      <c r="K111" s="20"/>
      <c r="L111" s="362"/>
      <c r="M111" s="362"/>
      <c r="N111" s="21" t="s">
        <v>39</v>
      </c>
      <c r="O111" s="22" t="s">
        <v>40</v>
      </c>
      <c r="P111" s="23" t="s">
        <v>41</v>
      </c>
      <c r="Q111" s="23" t="s">
        <v>42</v>
      </c>
      <c r="R111" s="24" t="s">
        <v>43</v>
      </c>
      <c r="S111" s="20"/>
      <c r="T111" s="25" t="s">
        <v>1</v>
      </c>
      <c r="U111" s="26" t="s">
        <v>44</v>
      </c>
      <c r="V111" s="26" t="s">
        <v>45</v>
      </c>
      <c r="W111" s="26" t="s">
        <v>46</v>
      </c>
      <c r="AB111" s="28" t="s">
        <v>48</v>
      </c>
      <c r="AC111" s="29" t="s">
        <v>49</v>
      </c>
      <c r="AD111" s="30" t="s">
        <v>50</v>
      </c>
      <c r="AE111" s="31"/>
      <c r="AI111" s="28"/>
    </row>
    <row r="112" spans="2:36">
      <c r="D112" s="215"/>
      <c r="E112" s="193"/>
      <c r="F112" s="193"/>
      <c r="G112" s="193"/>
      <c r="H112" s="193"/>
      <c r="I112" s="193"/>
      <c r="J112" s="193"/>
      <c r="K112" s="193"/>
      <c r="L112" s="216"/>
      <c r="M112" s="217"/>
      <c r="N112" s="217"/>
      <c r="O112" s="217"/>
      <c r="P112" s="217"/>
      <c r="Q112" s="217"/>
      <c r="R112" s="217"/>
      <c r="S112" s="193"/>
      <c r="T112" s="3"/>
      <c r="U112" s="218"/>
      <c r="V112" s="219"/>
      <c r="W112" s="6"/>
    </row>
    <row r="113" spans="2:36">
      <c r="D113" s="46" t="s">
        <v>7</v>
      </c>
      <c r="E113" s="220">
        <v>155975.76999999999</v>
      </c>
      <c r="F113" s="143">
        <v>23396.37</v>
      </c>
      <c r="G113" s="144">
        <v>132579.4</v>
      </c>
      <c r="H113" s="144">
        <v>71592.88</v>
      </c>
      <c r="I113" s="144">
        <v>36459.339999999997</v>
      </c>
      <c r="J113" s="142">
        <v>14848.89</v>
      </c>
      <c r="K113" s="145"/>
      <c r="L113" s="160" t="s">
        <v>7</v>
      </c>
      <c r="M113" s="109">
        <f>E113*0.95</f>
        <v>148176.98149999999</v>
      </c>
      <c r="N113" s="109">
        <f t="shared" ref="N113:R118" si="85">F113*0.95</f>
        <v>22226.551499999998</v>
      </c>
      <c r="O113" s="109">
        <f t="shared" si="85"/>
        <v>125950.43</v>
      </c>
      <c r="P113" s="109">
        <f t="shared" si="85"/>
        <v>68013.236000000004</v>
      </c>
      <c r="Q113" s="109">
        <f t="shared" si="85"/>
        <v>34636.372999999992</v>
      </c>
      <c r="R113" s="109">
        <f t="shared" si="85"/>
        <v>14106.445499999998</v>
      </c>
      <c r="S113" s="145"/>
      <c r="T113" s="54" t="s">
        <v>7</v>
      </c>
      <c r="U113" s="49">
        <v>155975.76999999999</v>
      </c>
      <c r="V113" s="50">
        <v>148548.35</v>
      </c>
      <c r="W113" s="55">
        <v>146617.22</v>
      </c>
      <c r="X113" s="56">
        <f>V113/U113</f>
        <v>0.95238093711606631</v>
      </c>
      <c r="Y113" s="57">
        <f>AA113/U113</f>
        <v>6.0000024362758322E-2</v>
      </c>
      <c r="Z113" s="57"/>
      <c r="AA113" s="58">
        <f t="shared" ref="AA113:AA118" si="86">U113-W113</f>
        <v>9358.5499999999884</v>
      </c>
      <c r="AB113" s="58">
        <f t="shared" ref="AB113:AB118" si="87">U113-AC113-AD113</f>
        <v>150200.76999999999</v>
      </c>
      <c r="AC113" s="58">
        <v>5775</v>
      </c>
      <c r="AE113" s="8">
        <f>SUM(AB113:AD113)-AA113</f>
        <v>146617.22</v>
      </c>
      <c r="AF113" t="b">
        <f>AE113=W113</f>
        <v>1</v>
      </c>
      <c r="AG113" s="59">
        <f>SUM(AB113:AD113)</f>
        <v>155975.76999999999</v>
      </c>
      <c r="AH113" t="b">
        <f t="shared" ref="AH113:AH118" si="88">AG113=U113</f>
        <v>1</v>
      </c>
      <c r="AI113" s="58">
        <f t="shared" ref="AI113:AI118" si="89">AB113/(U113-AD113)</f>
        <v>0.96297501849165423</v>
      </c>
      <c r="AJ113" s="58">
        <f>AE113/U113</f>
        <v>0.93999997563724169</v>
      </c>
    </row>
    <row r="114" spans="2:36">
      <c r="D114" s="165" t="s">
        <v>54</v>
      </c>
      <c r="E114" s="221">
        <v>177245.19</v>
      </c>
      <c r="F114" s="148">
        <v>26586.78</v>
      </c>
      <c r="G114" s="149">
        <v>150658.41</v>
      </c>
      <c r="H114" s="149">
        <v>81355.539999999994</v>
      </c>
      <c r="I114" s="149">
        <v>41431.06</v>
      </c>
      <c r="J114" s="147">
        <v>16873.740000000002</v>
      </c>
      <c r="K114" s="145"/>
      <c r="L114" s="150" t="s">
        <v>54</v>
      </c>
      <c r="M114" s="109">
        <f t="shared" ref="M114:M118" si="90">E114*0.95</f>
        <v>168382.93049999999</v>
      </c>
      <c r="N114" s="109">
        <f t="shared" si="85"/>
        <v>25257.440999999999</v>
      </c>
      <c r="O114" s="109">
        <f t="shared" si="85"/>
        <v>143125.4895</v>
      </c>
      <c r="P114" s="109">
        <f t="shared" si="85"/>
        <v>77287.762999999992</v>
      </c>
      <c r="Q114" s="109">
        <f t="shared" si="85"/>
        <v>39359.506999999998</v>
      </c>
      <c r="R114" s="109">
        <f t="shared" si="85"/>
        <v>16030.053</v>
      </c>
      <c r="S114" s="145"/>
      <c r="T114" s="66" t="s">
        <v>54</v>
      </c>
      <c r="U114" s="63">
        <v>177245.19</v>
      </c>
      <c r="V114" s="64">
        <v>168804.94</v>
      </c>
      <c r="W114" s="67">
        <v>166610.48000000001</v>
      </c>
      <c r="X114" s="56">
        <f t="shared" ref="X114:X118" si="91">V114/U114</f>
        <v>0.95238093626123221</v>
      </c>
      <c r="Y114" s="57">
        <f t="shared" ref="Y114:Y118" si="92">AA114/U114</f>
        <v>5.9999992101337087E-2</v>
      </c>
      <c r="Z114" s="57"/>
      <c r="AA114" s="58">
        <f t="shared" si="86"/>
        <v>10634.709999999992</v>
      </c>
      <c r="AB114" s="58">
        <f t="shared" si="87"/>
        <v>171470.19</v>
      </c>
      <c r="AC114" s="58">
        <v>5775</v>
      </c>
      <c r="AE114" s="8">
        <f t="shared" ref="AE114:AE118" si="93">SUM(AB114:AD114)-AA114</f>
        <v>166610.48000000001</v>
      </c>
      <c r="AF114" t="b">
        <f t="shared" ref="AF114:AF118" si="94">AE114=W114</f>
        <v>1</v>
      </c>
      <c r="AG114" s="59">
        <f t="shared" ref="AG114:AG118" si="95">SUM(AB114:AD114)</f>
        <v>177245.19</v>
      </c>
      <c r="AH114" t="b">
        <f t="shared" si="88"/>
        <v>1</v>
      </c>
      <c r="AI114" s="58">
        <f t="shared" si="89"/>
        <v>0.96741801568775998</v>
      </c>
      <c r="AJ114" s="58">
        <f t="shared" ref="AJ114:AJ118" si="96">AE114/U114</f>
        <v>0.94000000789866289</v>
      </c>
    </row>
    <row r="115" spans="2:36">
      <c r="D115" s="165" t="s">
        <v>11</v>
      </c>
      <c r="E115" s="221">
        <v>187518.18</v>
      </c>
      <c r="F115" s="148">
        <v>28127.73</v>
      </c>
      <c r="G115" s="149">
        <v>159390.45000000001</v>
      </c>
      <c r="H115" s="149">
        <v>86070.84</v>
      </c>
      <c r="I115" s="149">
        <v>43832.37</v>
      </c>
      <c r="J115" s="147">
        <v>17851.73</v>
      </c>
      <c r="K115" s="145"/>
      <c r="L115" s="150" t="s">
        <v>11</v>
      </c>
      <c r="M115" s="109">
        <f t="shared" si="90"/>
        <v>178142.27099999998</v>
      </c>
      <c r="N115" s="109">
        <f t="shared" si="85"/>
        <v>26721.343499999999</v>
      </c>
      <c r="O115" s="109">
        <f t="shared" si="85"/>
        <v>151420.92749999999</v>
      </c>
      <c r="P115" s="109">
        <f t="shared" si="85"/>
        <v>81767.297999999995</v>
      </c>
      <c r="Q115" s="109">
        <f t="shared" si="85"/>
        <v>41640.751499999998</v>
      </c>
      <c r="R115" s="109">
        <f t="shared" si="85"/>
        <v>16959.143499999998</v>
      </c>
      <c r="S115" s="145"/>
      <c r="T115" s="66" t="s">
        <v>11</v>
      </c>
      <c r="U115" s="63">
        <v>187518.18</v>
      </c>
      <c r="V115" s="64">
        <v>178588.74</v>
      </c>
      <c r="W115" s="67">
        <v>176267.09</v>
      </c>
      <c r="X115" s="56">
        <f t="shared" si="91"/>
        <v>0.95238093714433447</v>
      </c>
      <c r="Y115" s="57">
        <f t="shared" si="92"/>
        <v>5.9999995733746973E-2</v>
      </c>
      <c r="Z115" s="57"/>
      <c r="AA115" s="58">
        <f t="shared" si="86"/>
        <v>11251.089999999997</v>
      </c>
      <c r="AB115" s="58">
        <f t="shared" si="87"/>
        <v>175933.72999999998</v>
      </c>
      <c r="AC115" s="58">
        <v>8400</v>
      </c>
      <c r="AD115" s="7">
        <v>3184.45</v>
      </c>
      <c r="AE115" s="8">
        <f t="shared" si="93"/>
        <v>176267.09</v>
      </c>
      <c r="AF115" t="b">
        <f t="shared" si="94"/>
        <v>1</v>
      </c>
      <c r="AG115" s="59">
        <f t="shared" si="95"/>
        <v>187518.18</v>
      </c>
      <c r="AH115" t="b">
        <f t="shared" si="88"/>
        <v>1</v>
      </c>
      <c r="AI115" s="58">
        <f t="shared" si="89"/>
        <v>0.95443047780783252</v>
      </c>
      <c r="AJ115" s="58">
        <f t="shared" si="96"/>
        <v>0.94000000426625308</v>
      </c>
    </row>
    <row r="116" spans="2:36">
      <c r="D116" s="165" t="s">
        <v>13</v>
      </c>
      <c r="E116" s="221">
        <v>191424.81</v>
      </c>
      <c r="F116" s="148">
        <v>28713.72</v>
      </c>
      <c r="G116" s="149">
        <v>162711.09</v>
      </c>
      <c r="H116" s="149">
        <v>87863.99</v>
      </c>
      <c r="I116" s="149">
        <v>44745.55</v>
      </c>
      <c r="J116" s="147">
        <v>18223.64</v>
      </c>
      <c r="K116" s="145"/>
      <c r="L116" s="150" t="s">
        <v>13</v>
      </c>
      <c r="M116" s="109">
        <f t="shared" si="90"/>
        <v>181853.56949999998</v>
      </c>
      <c r="N116" s="109">
        <f t="shared" si="85"/>
        <v>27278.034</v>
      </c>
      <c r="O116" s="109">
        <f t="shared" si="85"/>
        <v>154575.5355</v>
      </c>
      <c r="P116" s="109">
        <f t="shared" si="85"/>
        <v>83470.790500000003</v>
      </c>
      <c r="Q116" s="109">
        <f t="shared" si="85"/>
        <v>42508.272499999999</v>
      </c>
      <c r="R116" s="109">
        <f t="shared" si="85"/>
        <v>17312.457999999999</v>
      </c>
      <c r="S116" s="145"/>
      <c r="T116" s="66" t="s">
        <v>13</v>
      </c>
      <c r="U116" s="63">
        <v>191424.81</v>
      </c>
      <c r="V116" s="64">
        <v>182309.34</v>
      </c>
      <c r="W116" s="67">
        <v>179939.32</v>
      </c>
      <c r="X116" s="56">
        <f t="shared" si="91"/>
        <v>0.95238093745528596</v>
      </c>
      <c r="Y116" s="57">
        <f t="shared" si="92"/>
        <v>6.0000007313576492E-2</v>
      </c>
      <c r="Z116" s="57"/>
      <c r="AA116" s="58">
        <f t="shared" si="86"/>
        <v>11485.489999999991</v>
      </c>
      <c r="AB116" s="58">
        <f t="shared" si="87"/>
        <v>179874.81</v>
      </c>
      <c r="AC116" s="58">
        <v>11550</v>
      </c>
      <c r="AE116" s="8">
        <f t="shared" si="93"/>
        <v>179939.32</v>
      </c>
      <c r="AF116" t="b">
        <f t="shared" si="94"/>
        <v>1</v>
      </c>
      <c r="AG116" s="59">
        <f t="shared" si="95"/>
        <v>191424.81</v>
      </c>
      <c r="AH116" t="b">
        <f t="shared" si="88"/>
        <v>1</v>
      </c>
      <c r="AI116" s="58">
        <f t="shared" si="89"/>
        <v>0.93966299352732807</v>
      </c>
      <c r="AJ116" s="58">
        <f t="shared" si="96"/>
        <v>0.93999999268642354</v>
      </c>
    </row>
    <row r="117" spans="2:36">
      <c r="D117" s="165" t="s">
        <v>15</v>
      </c>
      <c r="E117" s="221">
        <v>198514.62</v>
      </c>
      <c r="F117" s="148">
        <v>29777.19</v>
      </c>
      <c r="G117" s="149">
        <v>168737.42</v>
      </c>
      <c r="H117" s="149">
        <v>91118.21</v>
      </c>
      <c r="I117" s="149">
        <v>46402.79</v>
      </c>
      <c r="J117" s="147">
        <v>18898.59</v>
      </c>
      <c r="K117" s="145"/>
      <c r="L117" s="150" t="s">
        <v>15</v>
      </c>
      <c r="M117" s="109">
        <f t="shared" si="90"/>
        <v>188588.889</v>
      </c>
      <c r="N117" s="109">
        <f t="shared" si="85"/>
        <v>28288.330499999996</v>
      </c>
      <c r="O117" s="109">
        <f t="shared" si="85"/>
        <v>160300.549</v>
      </c>
      <c r="P117" s="109">
        <f t="shared" si="85"/>
        <v>86562.299500000008</v>
      </c>
      <c r="Q117" s="109">
        <f t="shared" si="85"/>
        <v>44082.650499999996</v>
      </c>
      <c r="R117" s="109">
        <f t="shared" si="85"/>
        <v>17953.660499999998</v>
      </c>
      <c r="S117" s="145"/>
      <c r="T117" s="66" t="s">
        <v>15</v>
      </c>
      <c r="U117" s="63">
        <v>198514.62</v>
      </c>
      <c r="V117" s="64">
        <v>189061.54</v>
      </c>
      <c r="W117" s="67">
        <v>186603.74</v>
      </c>
      <c r="X117" s="56">
        <f t="shared" si="91"/>
        <v>0.95238093798834567</v>
      </c>
      <c r="Y117" s="57">
        <f t="shared" si="92"/>
        <v>6.0000014104754626E-2</v>
      </c>
      <c r="Z117" s="57"/>
      <c r="AA117" s="58">
        <f t="shared" si="86"/>
        <v>11910.880000000005</v>
      </c>
      <c r="AB117" s="58">
        <f t="shared" si="87"/>
        <v>182764.62</v>
      </c>
      <c r="AC117" s="58">
        <v>15750</v>
      </c>
      <c r="AE117" s="8">
        <f t="shared" si="93"/>
        <v>186603.74</v>
      </c>
      <c r="AF117" t="b">
        <f t="shared" si="94"/>
        <v>1</v>
      </c>
      <c r="AG117" s="59">
        <f t="shared" si="95"/>
        <v>198514.62</v>
      </c>
      <c r="AH117" t="b">
        <f t="shared" si="88"/>
        <v>1</v>
      </c>
      <c r="AI117" s="58">
        <f t="shared" si="89"/>
        <v>0.92066075536401304</v>
      </c>
      <c r="AJ117" s="58">
        <f t="shared" si="96"/>
        <v>0.93999998589524536</v>
      </c>
    </row>
    <row r="118" spans="2:36">
      <c r="D118" s="205" t="s">
        <v>17</v>
      </c>
      <c r="E118" s="222">
        <v>201699.07</v>
      </c>
      <c r="F118" s="155">
        <v>30254.86</v>
      </c>
      <c r="G118" s="156">
        <v>171444.21</v>
      </c>
      <c r="H118" s="156">
        <v>92579.87</v>
      </c>
      <c r="I118" s="156">
        <v>47147.16</v>
      </c>
      <c r="J118" s="154">
        <v>19201.75</v>
      </c>
      <c r="K118" s="145"/>
      <c r="L118" s="211" t="s">
        <v>17</v>
      </c>
      <c r="M118" s="109">
        <f t="shared" si="90"/>
        <v>191614.1165</v>
      </c>
      <c r="N118" s="109">
        <f t="shared" si="85"/>
        <v>28742.116999999998</v>
      </c>
      <c r="O118" s="109">
        <f t="shared" si="85"/>
        <v>162871.99949999998</v>
      </c>
      <c r="P118" s="109">
        <f t="shared" si="85"/>
        <v>87950.876499999998</v>
      </c>
      <c r="Q118" s="109">
        <f t="shared" si="85"/>
        <v>44789.802000000003</v>
      </c>
      <c r="R118" s="109">
        <f t="shared" si="85"/>
        <v>18241.662499999999</v>
      </c>
      <c r="S118" s="145"/>
      <c r="T118" s="175" t="s">
        <v>17</v>
      </c>
      <c r="U118" s="73">
        <v>201699.07</v>
      </c>
      <c r="V118" s="74">
        <v>192094.35</v>
      </c>
      <c r="W118" s="76">
        <v>189597.12</v>
      </c>
      <c r="X118" s="56">
        <f t="shared" si="91"/>
        <v>0.9523809405764736</v>
      </c>
      <c r="Y118" s="57">
        <f t="shared" si="92"/>
        <v>6.0000028755710234E-2</v>
      </c>
      <c r="Z118" s="57"/>
      <c r="AA118" s="58">
        <f t="shared" si="86"/>
        <v>12101.950000000012</v>
      </c>
      <c r="AB118" s="58">
        <f t="shared" si="87"/>
        <v>182764.62</v>
      </c>
      <c r="AC118" s="58">
        <v>15750</v>
      </c>
      <c r="AD118" s="7">
        <v>3184.45</v>
      </c>
      <c r="AE118" s="8">
        <f t="shared" si="93"/>
        <v>189597.12</v>
      </c>
      <c r="AF118" t="b">
        <f t="shared" si="94"/>
        <v>1</v>
      </c>
      <c r="AG118" s="59">
        <f t="shared" si="95"/>
        <v>201699.07</v>
      </c>
      <c r="AH118" t="b">
        <f t="shared" si="88"/>
        <v>1</v>
      </c>
      <c r="AI118" s="58">
        <f t="shared" si="89"/>
        <v>0.92066075536401304</v>
      </c>
      <c r="AJ118" s="58">
        <f t="shared" si="96"/>
        <v>0.9399999712442898</v>
      </c>
    </row>
    <row r="119" spans="2:36">
      <c r="D119" s="83" t="s">
        <v>65</v>
      </c>
      <c r="E119" s="37"/>
      <c r="F119" s="37"/>
      <c r="G119" s="37"/>
      <c r="H119" s="37"/>
      <c r="I119" s="37"/>
      <c r="J119" s="37"/>
      <c r="K119" s="37"/>
      <c r="L119" s="84" t="s">
        <v>65</v>
      </c>
      <c r="M119" s="5"/>
      <c r="N119" s="5"/>
      <c r="O119" s="5"/>
      <c r="P119" s="5"/>
      <c r="Q119" s="5"/>
      <c r="R119" s="5"/>
      <c r="S119" s="37"/>
      <c r="T119" s="3"/>
      <c r="U119" s="3"/>
      <c r="V119" s="174"/>
      <c r="W119" s="223"/>
      <c r="Y119" s="57"/>
      <c r="Z119" s="57"/>
      <c r="AA119" s="58">
        <f>V119-W119</f>
        <v>0</v>
      </c>
      <c r="AB119" s="58"/>
      <c r="AC119" s="58"/>
      <c r="AI119" s="58"/>
    </row>
    <row r="120" spans="2:36" ht="27.95" customHeight="1">
      <c r="D120" s="345" t="s">
        <v>57</v>
      </c>
      <c r="E120" s="345"/>
      <c r="F120" s="345"/>
      <c r="G120" s="345"/>
      <c r="H120" s="345"/>
      <c r="I120" s="345"/>
      <c r="J120" s="345"/>
      <c r="K120" s="81"/>
      <c r="L120" s="328" t="s">
        <v>57</v>
      </c>
      <c r="M120" s="328"/>
      <c r="N120" s="328"/>
      <c r="O120" s="328"/>
      <c r="P120" s="328"/>
      <c r="Q120" s="328"/>
      <c r="R120" s="328"/>
      <c r="S120" s="81"/>
      <c r="T120" s="3"/>
      <c r="U120" s="3"/>
      <c r="V120" s="174"/>
      <c r="W120" s="223"/>
    </row>
    <row r="121" spans="2:36">
      <c r="D121" s="174"/>
      <c r="E121" s="3"/>
      <c r="F121" s="3"/>
      <c r="G121" s="3"/>
      <c r="H121" s="3"/>
      <c r="I121" s="3"/>
      <c r="J121" s="3"/>
      <c r="K121" s="3"/>
      <c r="L121" s="84"/>
      <c r="M121" s="5"/>
      <c r="N121" s="5"/>
      <c r="O121" s="5"/>
      <c r="P121" s="5"/>
      <c r="Q121" s="5"/>
      <c r="R121" s="5"/>
      <c r="S121" s="3"/>
      <c r="T121" s="3"/>
      <c r="U121" s="3"/>
      <c r="V121" s="3"/>
      <c r="W121" s="6"/>
      <c r="Y121" s="224"/>
      <c r="Z121" s="224"/>
      <c r="AA121" s="225"/>
    </row>
    <row r="122" spans="2:36">
      <c r="D122" s="174"/>
      <c r="E122" s="3"/>
      <c r="F122" s="3"/>
      <c r="G122" s="3"/>
      <c r="H122" s="3"/>
      <c r="I122" s="3"/>
      <c r="J122" s="3"/>
      <c r="K122" s="3"/>
      <c r="L122" s="84"/>
      <c r="M122" s="5"/>
      <c r="N122" s="5"/>
      <c r="O122" s="5"/>
      <c r="P122" s="5"/>
      <c r="Q122" s="5"/>
      <c r="R122" s="5"/>
      <c r="S122" s="3"/>
      <c r="T122" s="3"/>
      <c r="U122" s="3"/>
      <c r="V122" s="3"/>
      <c r="W122" s="6"/>
    </row>
    <row r="123" spans="2:36" ht="18.75" customHeight="1">
      <c r="B123" s="1" t="s">
        <v>32</v>
      </c>
      <c r="D123" s="357" t="s">
        <v>1</v>
      </c>
      <c r="E123" s="357" t="s">
        <v>3</v>
      </c>
      <c r="F123" s="359" t="s">
        <v>38</v>
      </c>
      <c r="G123" s="360"/>
      <c r="H123" s="360"/>
      <c r="I123" s="360"/>
      <c r="J123" s="360"/>
      <c r="K123" s="13"/>
      <c r="L123" s="361" t="s">
        <v>1</v>
      </c>
      <c r="M123" s="361" t="s">
        <v>3</v>
      </c>
      <c r="N123" s="363" t="s">
        <v>38</v>
      </c>
      <c r="O123" s="364"/>
      <c r="P123" s="364"/>
      <c r="Q123" s="364"/>
      <c r="R123" s="364"/>
      <c r="S123" s="13"/>
      <c r="T123" s="14"/>
      <c r="U123" s="15"/>
      <c r="V123" s="3"/>
      <c r="W123" s="6"/>
    </row>
    <row r="124" spans="2:36" ht="143.25">
      <c r="D124" s="365"/>
      <c r="E124" s="365"/>
      <c r="F124" s="16" t="s">
        <v>39</v>
      </c>
      <c r="G124" s="17" t="s">
        <v>40</v>
      </c>
      <c r="H124" s="18" t="s">
        <v>41</v>
      </c>
      <c r="I124" s="18" t="s">
        <v>42</v>
      </c>
      <c r="J124" s="19" t="s">
        <v>43</v>
      </c>
      <c r="K124" s="20"/>
      <c r="L124" s="366"/>
      <c r="M124" s="366"/>
      <c r="N124" s="21" t="s">
        <v>39</v>
      </c>
      <c r="O124" s="22" t="s">
        <v>40</v>
      </c>
      <c r="P124" s="23" t="s">
        <v>41</v>
      </c>
      <c r="Q124" s="23" t="s">
        <v>42</v>
      </c>
      <c r="R124" s="24" t="s">
        <v>43</v>
      </c>
      <c r="S124" s="20"/>
      <c r="T124" s="25" t="s">
        <v>1</v>
      </c>
      <c r="U124" s="26" t="s">
        <v>44</v>
      </c>
      <c r="V124" s="26" t="s">
        <v>45</v>
      </c>
      <c r="W124" s="26" t="s">
        <v>46</v>
      </c>
      <c r="AB124" s="28" t="s">
        <v>48</v>
      </c>
      <c r="AC124" s="29" t="s">
        <v>49</v>
      </c>
      <c r="AD124" s="30" t="s">
        <v>50</v>
      </c>
      <c r="AE124" s="31"/>
      <c r="AI124" s="28"/>
    </row>
    <row r="125" spans="2:36">
      <c r="D125" s="46" t="s">
        <v>7</v>
      </c>
      <c r="E125" s="142">
        <v>178809.07</v>
      </c>
      <c r="F125" s="143">
        <v>26821.360000000001</v>
      </c>
      <c r="G125" s="144">
        <v>151987.71</v>
      </c>
      <c r="H125" s="144">
        <v>82073.36</v>
      </c>
      <c r="I125" s="144">
        <v>41796.620000000003</v>
      </c>
      <c r="J125" s="142">
        <v>17022.62</v>
      </c>
      <c r="K125" s="145"/>
      <c r="L125" s="160" t="s">
        <v>7</v>
      </c>
      <c r="M125" s="109">
        <f>E125*0.95</f>
        <v>169868.6165</v>
      </c>
      <c r="N125" s="109">
        <f t="shared" ref="N125:R130" si="97">F125*0.95</f>
        <v>25480.291999999998</v>
      </c>
      <c r="O125" s="109">
        <f t="shared" si="97"/>
        <v>144388.32449999999</v>
      </c>
      <c r="P125" s="109">
        <f t="shared" si="97"/>
        <v>77969.691999999995</v>
      </c>
      <c r="Q125" s="109">
        <f t="shared" si="97"/>
        <v>39706.788999999997</v>
      </c>
      <c r="R125" s="109">
        <f t="shared" si="97"/>
        <v>16171.488999999998</v>
      </c>
      <c r="S125" s="145"/>
      <c r="T125" s="54" t="s">
        <v>7</v>
      </c>
      <c r="U125" s="49">
        <v>178809.07</v>
      </c>
      <c r="V125" s="49">
        <v>170294.35</v>
      </c>
      <c r="W125" s="55">
        <v>168080.52</v>
      </c>
      <c r="X125" s="56">
        <f>V125/U125</f>
        <v>0.95238093906533938</v>
      </c>
      <c r="Y125" s="57">
        <f>AA125/U125</f>
        <v>6.0000032436833418E-2</v>
      </c>
      <c r="Z125" s="57"/>
      <c r="AA125" s="58">
        <f t="shared" ref="AA125:AA130" si="98">U125-W125</f>
        <v>10728.550000000017</v>
      </c>
      <c r="AB125" s="58">
        <f t="shared" ref="AB125:AB130" si="99">U125-AC125-AD125</f>
        <v>173034.07</v>
      </c>
      <c r="AC125" s="58">
        <v>5775</v>
      </c>
      <c r="AE125" s="8">
        <f>SUM(AB125:AD125)-AA125</f>
        <v>168080.52</v>
      </c>
      <c r="AF125" t="b">
        <f>AE125=W125</f>
        <v>1</v>
      </c>
      <c r="AG125" s="59">
        <f>SUM(AB125:AD125)</f>
        <v>178809.07</v>
      </c>
      <c r="AH125" t="b">
        <f t="shared" ref="AH125:AH130" si="100">AG125=U125</f>
        <v>1</v>
      </c>
      <c r="AI125" s="58">
        <f t="shared" ref="AI125:AI130" si="101">AB125/(U125-AD125)</f>
        <v>0.96770298061502136</v>
      </c>
      <c r="AJ125" s="58">
        <f>AE125/U125</f>
        <v>0.93999996756316662</v>
      </c>
    </row>
    <row r="126" spans="2:36">
      <c r="D126" s="60" t="s">
        <v>54</v>
      </c>
      <c r="E126" s="147">
        <v>203192.12</v>
      </c>
      <c r="F126" s="148">
        <v>30478.82</v>
      </c>
      <c r="G126" s="149">
        <v>172713.3</v>
      </c>
      <c r="H126" s="149">
        <v>93265.18</v>
      </c>
      <c r="I126" s="149">
        <v>47496.160000000003</v>
      </c>
      <c r="J126" s="147">
        <v>19343.89</v>
      </c>
      <c r="K126" s="145"/>
      <c r="L126" s="161" t="s">
        <v>54</v>
      </c>
      <c r="M126" s="109">
        <f t="shared" ref="M126:M130" si="102">E126*0.95</f>
        <v>193032.514</v>
      </c>
      <c r="N126" s="109">
        <f t="shared" si="97"/>
        <v>28954.878999999997</v>
      </c>
      <c r="O126" s="109">
        <f t="shared" si="97"/>
        <v>164077.63499999998</v>
      </c>
      <c r="P126" s="109">
        <f t="shared" si="97"/>
        <v>88601.920999999988</v>
      </c>
      <c r="Q126" s="109">
        <f t="shared" si="97"/>
        <v>45121.351999999999</v>
      </c>
      <c r="R126" s="109">
        <f t="shared" si="97"/>
        <v>18376.695499999998</v>
      </c>
      <c r="S126" s="145"/>
      <c r="T126" s="66" t="s">
        <v>54</v>
      </c>
      <c r="U126" s="63">
        <v>203192.12</v>
      </c>
      <c r="V126" s="63">
        <v>193516.3</v>
      </c>
      <c r="W126" s="67">
        <v>191000.59</v>
      </c>
      <c r="X126" s="56">
        <f t="shared" ref="X126:X130" si="103">V126/U126</f>
        <v>0.95238092894547288</v>
      </c>
      <c r="Y126" s="57">
        <f t="shared" ref="Y126:Y130" si="104">AA126/U126</f>
        <v>6.0000013780061937E-2</v>
      </c>
      <c r="Z126" s="57"/>
      <c r="AA126" s="58">
        <f t="shared" si="98"/>
        <v>12191.529999999999</v>
      </c>
      <c r="AB126" s="58">
        <f t="shared" si="99"/>
        <v>197417.12</v>
      </c>
      <c r="AC126" s="58">
        <v>5775</v>
      </c>
      <c r="AE126" s="8">
        <f t="shared" ref="AE126:AE130" si="105">SUM(AB126:AD126)-AA126</f>
        <v>191000.59</v>
      </c>
      <c r="AF126" t="b">
        <f t="shared" ref="AF126:AF130" si="106">AE126=W126</f>
        <v>1</v>
      </c>
      <c r="AG126" s="59">
        <f t="shared" ref="AG126:AG130" si="107">SUM(AB126:AD126)</f>
        <v>203192.12</v>
      </c>
      <c r="AH126" t="b">
        <f t="shared" si="100"/>
        <v>1</v>
      </c>
      <c r="AI126" s="58">
        <f t="shared" si="101"/>
        <v>0.97157862224184677</v>
      </c>
      <c r="AJ126" s="58">
        <f t="shared" ref="AJ126:AJ130" si="108">AE126/U126</f>
        <v>0.93999998621993808</v>
      </c>
    </row>
    <row r="127" spans="2:36">
      <c r="D127" s="60" t="s">
        <v>11</v>
      </c>
      <c r="E127" s="147">
        <v>218760.34</v>
      </c>
      <c r="F127" s="148">
        <v>32814.050000000003</v>
      </c>
      <c r="G127" s="149">
        <v>185946.29</v>
      </c>
      <c r="H127" s="149">
        <v>100411</v>
      </c>
      <c r="I127" s="149">
        <v>51135.23</v>
      </c>
      <c r="J127" s="147">
        <v>20825.98</v>
      </c>
      <c r="K127" s="145"/>
      <c r="L127" s="161" t="s">
        <v>11</v>
      </c>
      <c r="M127" s="109">
        <f t="shared" si="102"/>
        <v>207822.32299999997</v>
      </c>
      <c r="N127" s="109">
        <f t="shared" si="97"/>
        <v>31173.3475</v>
      </c>
      <c r="O127" s="109">
        <f t="shared" si="97"/>
        <v>176648.9755</v>
      </c>
      <c r="P127" s="109">
        <f t="shared" si="97"/>
        <v>95390.45</v>
      </c>
      <c r="Q127" s="109">
        <f t="shared" si="97"/>
        <v>48578.468500000003</v>
      </c>
      <c r="R127" s="109">
        <f t="shared" si="97"/>
        <v>19784.680999999997</v>
      </c>
      <c r="S127" s="145"/>
      <c r="T127" s="66" t="s">
        <v>11</v>
      </c>
      <c r="U127" s="63">
        <v>218760.34</v>
      </c>
      <c r="V127" s="63">
        <v>208343.18</v>
      </c>
      <c r="W127" s="67">
        <v>205634.72</v>
      </c>
      <c r="X127" s="56">
        <f t="shared" si="103"/>
        <v>0.95238094802741668</v>
      </c>
      <c r="Y127" s="57">
        <f t="shared" si="104"/>
        <v>5.9999998171514982E-2</v>
      </c>
      <c r="Z127" s="57"/>
      <c r="AA127" s="58">
        <f t="shared" si="98"/>
        <v>13125.619999999995</v>
      </c>
      <c r="AB127" s="58">
        <f t="shared" si="99"/>
        <v>207175.88999999998</v>
      </c>
      <c r="AC127" s="58">
        <v>8400</v>
      </c>
      <c r="AD127" s="7">
        <v>3184.45</v>
      </c>
      <c r="AE127" s="8">
        <f t="shared" si="105"/>
        <v>205634.72</v>
      </c>
      <c r="AF127" t="b">
        <f t="shared" si="106"/>
        <v>1</v>
      </c>
      <c r="AG127" s="59">
        <f t="shared" si="107"/>
        <v>218760.34</v>
      </c>
      <c r="AH127" t="b">
        <f t="shared" si="100"/>
        <v>1</v>
      </c>
      <c r="AI127" s="58">
        <f t="shared" si="101"/>
        <v>0.96103460363772586</v>
      </c>
      <c r="AJ127" s="58">
        <f t="shared" si="108"/>
        <v>0.94000000182848498</v>
      </c>
    </row>
    <row r="128" spans="2:36">
      <c r="D128" s="60" t="s">
        <v>13</v>
      </c>
      <c r="E128" s="147">
        <v>227962.2</v>
      </c>
      <c r="F128" s="148">
        <v>34194.33</v>
      </c>
      <c r="G128" s="149">
        <v>193767.87</v>
      </c>
      <c r="H128" s="149">
        <v>104634.65</v>
      </c>
      <c r="I128" s="149">
        <v>53286.16</v>
      </c>
      <c r="J128" s="147">
        <v>21702</v>
      </c>
      <c r="K128" s="145"/>
      <c r="L128" s="161" t="s">
        <v>13</v>
      </c>
      <c r="M128" s="109">
        <f t="shared" si="102"/>
        <v>216564.09</v>
      </c>
      <c r="N128" s="109">
        <f t="shared" si="97"/>
        <v>32484.613499999999</v>
      </c>
      <c r="O128" s="109">
        <f t="shared" si="97"/>
        <v>184079.47649999999</v>
      </c>
      <c r="P128" s="109">
        <f t="shared" si="97"/>
        <v>99402.917499999996</v>
      </c>
      <c r="Q128" s="109">
        <f t="shared" si="97"/>
        <v>50621.851999999999</v>
      </c>
      <c r="R128" s="109">
        <f t="shared" si="97"/>
        <v>20616.899999999998</v>
      </c>
      <c r="S128" s="145"/>
      <c r="T128" s="66" t="s">
        <v>13</v>
      </c>
      <c r="U128" s="63">
        <v>227962.2</v>
      </c>
      <c r="V128" s="63">
        <v>217106.86</v>
      </c>
      <c r="W128" s="67">
        <v>214284.47</v>
      </c>
      <c r="X128" s="56">
        <f t="shared" si="103"/>
        <v>0.95238096491435853</v>
      </c>
      <c r="Y128" s="57">
        <f t="shared" si="104"/>
        <v>5.999999122661568E-2</v>
      </c>
      <c r="Z128" s="57"/>
      <c r="AA128" s="58">
        <f t="shared" si="98"/>
        <v>13677.73000000001</v>
      </c>
      <c r="AB128" s="58">
        <f t="shared" si="99"/>
        <v>216412.2</v>
      </c>
      <c r="AC128" s="58">
        <v>11550</v>
      </c>
      <c r="AE128" s="8">
        <f t="shared" si="105"/>
        <v>214284.47</v>
      </c>
      <c r="AF128" t="b">
        <f t="shared" si="106"/>
        <v>1</v>
      </c>
      <c r="AG128" s="59">
        <f t="shared" si="107"/>
        <v>227962.2</v>
      </c>
      <c r="AH128" t="b">
        <f t="shared" si="100"/>
        <v>1</v>
      </c>
      <c r="AI128" s="58">
        <f t="shared" si="101"/>
        <v>0.94933370532483019</v>
      </c>
      <c r="AJ128" s="58">
        <f t="shared" si="108"/>
        <v>0.9400000087733843</v>
      </c>
    </row>
    <row r="129" spans="2:36">
      <c r="D129" s="60" t="s">
        <v>15</v>
      </c>
      <c r="E129" s="147">
        <v>233270.7</v>
      </c>
      <c r="F129" s="148">
        <v>34990.6</v>
      </c>
      <c r="G129" s="149">
        <v>198280.09</v>
      </c>
      <c r="H129" s="149">
        <v>107071.25</v>
      </c>
      <c r="I129" s="149">
        <v>54527.03</v>
      </c>
      <c r="J129" s="147">
        <v>22207.37</v>
      </c>
      <c r="K129" s="145"/>
      <c r="L129" s="161" t="s">
        <v>15</v>
      </c>
      <c r="M129" s="109">
        <f t="shared" si="102"/>
        <v>221607.16500000001</v>
      </c>
      <c r="N129" s="109">
        <f t="shared" si="97"/>
        <v>33241.07</v>
      </c>
      <c r="O129" s="109">
        <f t="shared" si="97"/>
        <v>188366.08549999999</v>
      </c>
      <c r="P129" s="109">
        <f t="shared" si="97"/>
        <v>101717.6875</v>
      </c>
      <c r="Q129" s="109">
        <f t="shared" si="97"/>
        <v>51800.678499999995</v>
      </c>
      <c r="R129" s="109">
        <f t="shared" si="97"/>
        <v>21097.001499999998</v>
      </c>
      <c r="S129" s="145"/>
      <c r="T129" s="66" t="s">
        <v>15</v>
      </c>
      <c r="U129" s="63">
        <v>233270.7</v>
      </c>
      <c r="V129" s="63">
        <v>222162.57</v>
      </c>
      <c r="W129" s="67">
        <v>219274.46</v>
      </c>
      <c r="X129" s="56">
        <f t="shared" si="103"/>
        <v>0.95238094625685954</v>
      </c>
      <c r="Y129" s="57">
        <f t="shared" si="104"/>
        <v>5.9999991426270077E-2</v>
      </c>
      <c r="Z129" s="57"/>
      <c r="AA129" s="58">
        <f t="shared" si="98"/>
        <v>13996.24000000002</v>
      </c>
      <c r="AB129" s="58">
        <f t="shared" si="99"/>
        <v>217520.7</v>
      </c>
      <c r="AC129" s="58">
        <v>15750</v>
      </c>
      <c r="AE129" s="8">
        <f t="shared" si="105"/>
        <v>219274.46</v>
      </c>
      <c r="AF129" t="b">
        <f t="shared" si="106"/>
        <v>1</v>
      </c>
      <c r="AG129" s="59">
        <f t="shared" si="107"/>
        <v>233270.7</v>
      </c>
      <c r="AH129" t="b">
        <f t="shared" si="100"/>
        <v>1</v>
      </c>
      <c r="AI129" s="58">
        <f t="shared" si="101"/>
        <v>0.93248187620648459</v>
      </c>
      <c r="AJ129" s="58">
        <f t="shared" si="108"/>
        <v>0.94000000857372989</v>
      </c>
    </row>
    <row r="130" spans="2:36">
      <c r="D130" s="162" t="s">
        <v>17</v>
      </c>
      <c r="E130" s="154">
        <v>236455.16</v>
      </c>
      <c r="F130" s="155">
        <v>35468.269999999997</v>
      </c>
      <c r="G130" s="156">
        <v>200986.89</v>
      </c>
      <c r="H130" s="156">
        <v>108532.92</v>
      </c>
      <c r="I130" s="156">
        <v>55271.39</v>
      </c>
      <c r="J130" s="154">
        <v>22510.53</v>
      </c>
      <c r="K130" s="145"/>
      <c r="L130" s="163" t="s">
        <v>17</v>
      </c>
      <c r="M130" s="109">
        <f t="shared" si="102"/>
        <v>224632.402</v>
      </c>
      <c r="N130" s="109">
        <f t="shared" si="97"/>
        <v>33694.856499999994</v>
      </c>
      <c r="O130" s="109">
        <f t="shared" si="97"/>
        <v>190937.54550000001</v>
      </c>
      <c r="P130" s="109">
        <f t="shared" si="97"/>
        <v>103106.27399999999</v>
      </c>
      <c r="Q130" s="109">
        <f t="shared" si="97"/>
        <v>52507.820499999994</v>
      </c>
      <c r="R130" s="109">
        <f t="shared" si="97"/>
        <v>21385.003499999999</v>
      </c>
      <c r="S130" s="145"/>
      <c r="T130" s="175" t="s">
        <v>17</v>
      </c>
      <c r="U130" s="73">
        <v>236455.16</v>
      </c>
      <c r="V130" s="73">
        <v>225195.39</v>
      </c>
      <c r="W130" s="76">
        <v>222267.85</v>
      </c>
      <c r="X130" s="56">
        <f t="shared" si="103"/>
        <v>0.95238095036708026</v>
      </c>
      <c r="Y130" s="57">
        <f t="shared" si="104"/>
        <v>6.0000001691652649E-2</v>
      </c>
      <c r="Z130" s="57"/>
      <c r="AA130" s="58">
        <f t="shared" si="98"/>
        <v>14187.309999999998</v>
      </c>
      <c r="AB130" s="58">
        <f t="shared" si="99"/>
        <v>217520.71</v>
      </c>
      <c r="AC130" s="58">
        <v>15750</v>
      </c>
      <c r="AD130" s="7">
        <v>3184.45</v>
      </c>
      <c r="AE130" s="8">
        <f t="shared" si="105"/>
        <v>222267.85</v>
      </c>
      <c r="AF130" t="b">
        <f t="shared" si="106"/>
        <v>1</v>
      </c>
      <c r="AG130" s="59">
        <f t="shared" si="107"/>
        <v>236455.16</v>
      </c>
      <c r="AH130" t="b">
        <f t="shared" si="100"/>
        <v>1</v>
      </c>
      <c r="AI130" s="58">
        <f t="shared" si="101"/>
        <v>0.93248187910089531</v>
      </c>
      <c r="AJ130" s="58">
        <f t="shared" si="108"/>
        <v>0.93999999830834735</v>
      </c>
    </row>
    <row r="131" spans="2:36">
      <c r="D131" s="83" t="s">
        <v>55</v>
      </c>
      <c r="E131" s="37"/>
      <c r="F131" s="37"/>
      <c r="G131" s="37"/>
      <c r="H131" s="37"/>
      <c r="I131" s="37"/>
      <c r="J131" s="37"/>
      <c r="K131" s="37"/>
      <c r="L131" s="84" t="s">
        <v>55</v>
      </c>
      <c r="M131" s="5"/>
      <c r="N131" s="5"/>
      <c r="O131" s="5"/>
      <c r="P131" s="5"/>
      <c r="Q131" s="5"/>
      <c r="R131" s="5"/>
      <c r="S131" s="37"/>
      <c r="T131" s="3"/>
      <c r="U131" s="3"/>
      <c r="V131" s="3"/>
      <c r="W131" s="6"/>
    </row>
    <row r="132" spans="2:36" ht="27.95" customHeight="1">
      <c r="D132" s="345" t="s">
        <v>57</v>
      </c>
      <c r="E132" s="345"/>
      <c r="F132" s="345"/>
      <c r="G132" s="345"/>
      <c r="H132" s="345"/>
      <c r="I132" s="345"/>
      <c r="J132" s="345"/>
      <c r="K132" s="81"/>
      <c r="L132" s="328" t="s">
        <v>57</v>
      </c>
      <c r="M132" s="328"/>
      <c r="N132" s="328"/>
      <c r="O132" s="328"/>
      <c r="P132" s="328"/>
      <c r="Q132" s="328"/>
      <c r="R132" s="328"/>
      <c r="S132" s="81"/>
      <c r="T132" s="3"/>
      <c r="U132" s="3"/>
      <c r="V132" s="3"/>
      <c r="W132" s="6"/>
    </row>
    <row r="133" spans="2:36">
      <c r="D133" s="174"/>
      <c r="E133" s="3"/>
      <c r="F133" s="3"/>
      <c r="G133" s="3"/>
      <c r="H133" s="3"/>
      <c r="I133" s="3"/>
      <c r="J133" s="3"/>
      <c r="K133" s="3"/>
      <c r="L133" s="84"/>
      <c r="M133" s="5"/>
      <c r="N133" s="5"/>
      <c r="O133" s="5"/>
      <c r="P133" s="5"/>
      <c r="Q133" s="5"/>
      <c r="R133" s="5"/>
      <c r="S133" s="3"/>
      <c r="T133" s="3"/>
      <c r="U133" s="3"/>
      <c r="V133" s="3"/>
      <c r="W133" s="6"/>
    </row>
    <row r="134" spans="2:36">
      <c r="D134" s="174"/>
      <c r="E134" s="3"/>
      <c r="F134" s="3"/>
      <c r="G134" s="3"/>
      <c r="H134" s="3"/>
      <c r="I134" s="3"/>
      <c r="J134" s="3"/>
      <c r="K134" s="3"/>
      <c r="L134" s="84"/>
      <c r="M134" s="5"/>
      <c r="N134" s="5"/>
      <c r="O134" s="5"/>
      <c r="P134" s="5"/>
      <c r="Q134" s="5"/>
      <c r="R134" s="5"/>
      <c r="S134" s="3"/>
      <c r="T134" s="3"/>
      <c r="U134" s="3"/>
      <c r="V134" s="138"/>
      <c r="W134" s="14"/>
    </row>
    <row r="135" spans="2:36" ht="18.75" customHeight="1">
      <c r="B135" s="1" t="s">
        <v>33</v>
      </c>
      <c r="D135" s="357" t="s">
        <v>1</v>
      </c>
      <c r="E135" s="357" t="s">
        <v>3</v>
      </c>
      <c r="F135" s="359" t="s">
        <v>38</v>
      </c>
      <c r="G135" s="360"/>
      <c r="H135" s="360"/>
      <c r="I135" s="360"/>
      <c r="J135" s="360"/>
      <c r="K135" s="13"/>
      <c r="L135" s="361" t="s">
        <v>1</v>
      </c>
      <c r="M135" s="361" t="s">
        <v>3</v>
      </c>
      <c r="N135" s="363" t="s">
        <v>38</v>
      </c>
      <c r="O135" s="364"/>
      <c r="P135" s="364"/>
      <c r="Q135" s="364"/>
      <c r="R135" s="364"/>
      <c r="S135" s="13"/>
      <c r="T135" s="14"/>
      <c r="U135" s="15"/>
      <c r="V135" s="3"/>
      <c r="W135" s="6"/>
    </row>
    <row r="136" spans="2:36" ht="143.25">
      <c r="D136" s="358"/>
      <c r="E136" s="358"/>
      <c r="F136" s="16" t="s">
        <v>39</v>
      </c>
      <c r="G136" s="17" t="s">
        <v>40</v>
      </c>
      <c r="H136" s="18" t="s">
        <v>41</v>
      </c>
      <c r="I136" s="18" t="s">
        <v>42</v>
      </c>
      <c r="J136" s="19" t="s">
        <v>43</v>
      </c>
      <c r="K136" s="20"/>
      <c r="L136" s="362"/>
      <c r="M136" s="362"/>
      <c r="N136" s="21" t="s">
        <v>39</v>
      </c>
      <c r="O136" s="22" t="s">
        <v>40</v>
      </c>
      <c r="P136" s="23" t="s">
        <v>41</v>
      </c>
      <c r="Q136" s="23" t="s">
        <v>42</v>
      </c>
      <c r="R136" s="24" t="s">
        <v>43</v>
      </c>
      <c r="S136" s="20"/>
      <c r="T136" s="25" t="s">
        <v>1</v>
      </c>
      <c r="U136" s="26" t="s">
        <v>44</v>
      </c>
      <c r="V136" s="26" t="s">
        <v>45</v>
      </c>
      <c r="W136" s="26" t="s">
        <v>46</v>
      </c>
      <c r="Y136" s="226"/>
      <c r="Z136" s="226"/>
      <c r="AB136" s="28" t="s">
        <v>48</v>
      </c>
      <c r="AC136" s="29" t="s">
        <v>49</v>
      </c>
      <c r="AD136" s="30" t="s">
        <v>50</v>
      </c>
      <c r="AE136" s="31"/>
      <c r="AI136" s="28"/>
    </row>
    <row r="137" spans="2:36">
      <c r="D137" s="215"/>
      <c r="E137" s="227"/>
      <c r="F137" s="227"/>
      <c r="G137" s="227"/>
      <c r="H137" s="227"/>
      <c r="I137" s="227"/>
      <c r="J137" s="227"/>
      <c r="K137" s="37"/>
      <c r="L137" s="216"/>
      <c r="M137" s="40"/>
      <c r="N137" s="40"/>
      <c r="O137" s="40"/>
      <c r="P137" s="40"/>
      <c r="Q137" s="40"/>
      <c r="R137" s="40"/>
      <c r="S137" s="37"/>
      <c r="T137" s="3"/>
      <c r="U137" s="42"/>
      <c r="V137" s="42"/>
      <c r="W137" s="6"/>
    </row>
    <row r="138" spans="2:36">
      <c r="D138" s="228" t="s">
        <v>7</v>
      </c>
      <c r="E138" s="63">
        <v>123300.47</v>
      </c>
      <c r="F138" s="63">
        <v>18495.07</v>
      </c>
      <c r="G138" s="63">
        <v>104805.4</v>
      </c>
      <c r="H138" s="63">
        <v>56594.92</v>
      </c>
      <c r="I138" s="63">
        <v>28821.49</v>
      </c>
      <c r="J138" s="63">
        <v>11738.2</v>
      </c>
      <c r="K138" s="51"/>
      <c r="L138" s="229" t="s">
        <v>7</v>
      </c>
      <c r="M138" s="109">
        <f>E138*0.95</f>
        <v>117135.44649999999</v>
      </c>
      <c r="N138" s="109">
        <f t="shared" ref="N138:R145" si="109">F138*0.95</f>
        <v>17570.316499999997</v>
      </c>
      <c r="O138" s="109">
        <f t="shared" si="109"/>
        <v>99565.12999999999</v>
      </c>
      <c r="P138" s="109">
        <f t="shared" si="109"/>
        <v>53765.173999999999</v>
      </c>
      <c r="Q138" s="109">
        <f t="shared" si="109"/>
        <v>27380.415499999999</v>
      </c>
      <c r="R138" s="109">
        <f t="shared" si="109"/>
        <v>11151.29</v>
      </c>
      <c r="S138" s="51"/>
      <c r="T138" s="54" t="s">
        <v>7</v>
      </c>
      <c r="U138" s="230">
        <v>123300.47</v>
      </c>
      <c r="V138" s="47">
        <v>117429.02</v>
      </c>
      <c r="W138" s="55">
        <v>115902.44</v>
      </c>
      <c r="X138" s="56">
        <f>V138/U138</f>
        <v>0.95238096010501827</v>
      </c>
      <c r="Y138" s="57">
        <f>AA138/U138</f>
        <v>6.0000014598484488E-2</v>
      </c>
      <c r="Z138" s="57"/>
      <c r="AA138" s="58">
        <f>U138-W138</f>
        <v>7398.0299999999988</v>
      </c>
      <c r="AB138" s="58">
        <f t="shared" ref="AB138:AB145" si="110">U138-AC138-AD138</f>
        <v>117525.47</v>
      </c>
      <c r="AC138" s="58">
        <v>5775</v>
      </c>
      <c r="AE138" s="8">
        <f>SUM(AB138:AD138)-AA138</f>
        <v>115902.44</v>
      </c>
      <c r="AF138" t="b">
        <f>AE138=W138</f>
        <v>1</v>
      </c>
      <c r="AG138" s="59">
        <f>SUM(AB138:AD138)</f>
        <v>123300.47</v>
      </c>
      <c r="AH138" t="b">
        <f t="shared" ref="AH138:AH145" si="111">AG138=U138</f>
        <v>1</v>
      </c>
      <c r="AI138" s="58">
        <f t="shared" ref="AI138:AI145" si="112">AB138/(U138-AD138)</f>
        <v>0.95316319556608342</v>
      </c>
      <c r="AJ138" s="58">
        <f>AE138/U138</f>
        <v>0.93999998540151553</v>
      </c>
    </row>
    <row r="139" spans="2:36">
      <c r="D139" s="231" t="s">
        <v>54</v>
      </c>
      <c r="E139" s="63">
        <v>125275.85</v>
      </c>
      <c r="F139" s="63">
        <v>18791.38</v>
      </c>
      <c r="G139" s="63">
        <v>106484.47</v>
      </c>
      <c r="H139" s="63">
        <v>57501.61</v>
      </c>
      <c r="I139" s="63">
        <v>29283.23</v>
      </c>
      <c r="J139" s="63">
        <v>11926.26</v>
      </c>
      <c r="K139" s="51"/>
      <c r="L139" s="232" t="s">
        <v>54</v>
      </c>
      <c r="M139" s="109">
        <f t="shared" ref="M139:M145" si="113">E139*0.95</f>
        <v>119012.0575</v>
      </c>
      <c r="N139" s="109">
        <f t="shared" si="109"/>
        <v>17851.811000000002</v>
      </c>
      <c r="O139" s="109">
        <f t="shared" si="109"/>
        <v>101160.24649999999</v>
      </c>
      <c r="P139" s="109">
        <f t="shared" si="109"/>
        <v>54626.529499999997</v>
      </c>
      <c r="Q139" s="109">
        <f t="shared" si="109"/>
        <v>27819.068499999998</v>
      </c>
      <c r="R139" s="109">
        <f t="shared" si="109"/>
        <v>11329.947</v>
      </c>
      <c r="S139" s="51"/>
      <c r="T139" s="151" t="s">
        <v>54</v>
      </c>
      <c r="U139" s="233">
        <v>125275.85</v>
      </c>
      <c r="V139" s="61">
        <v>119310.33</v>
      </c>
      <c r="W139" s="67">
        <v>117759.3</v>
      </c>
      <c r="X139" s="56">
        <f t="shared" ref="X139:X145" si="114">V139/U139</f>
        <v>0.95238092577300415</v>
      </c>
      <c r="Y139" s="57">
        <f t="shared" ref="Y139:Y145" si="115">AA139/U139</f>
        <v>5.999999201761555E-2</v>
      </c>
      <c r="Z139" s="57"/>
      <c r="AA139" s="58">
        <f t="shared" ref="AA139:AA145" si="116">U139-W139</f>
        <v>7516.5500000000029</v>
      </c>
      <c r="AB139" s="58">
        <f t="shared" si="110"/>
        <v>119500.85</v>
      </c>
      <c r="AC139" s="58">
        <v>5775</v>
      </c>
      <c r="AE139" s="8">
        <f t="shared" ref="AE139:AE145" si="117">SUM(AB139:AD139)-AA139</f>
        <v>117759.3</v>
      </c>
      <c r="AF139" t="b">
        <f t="shared" ref="AF139:AF145" si="118">AE139=W139</f>
        <v>1</v>
      </c>
      <c r="AG139" s="59">
        <f t="shared" ref="AG139:AG145" si="119">SUM(AB139:AD139)</f>
        <v>125275.85</v>
      </c>
      <c r="AH139" t="b">
        <f t="shared" si="111"/>
        <v>1</v>
      </c>
      <c r="AI139" s="58">
        <f t="shared" si="112"/>
        <v>0.9539017296629797</v>
      </c>
      <c r="AJ139" s="58">
        <f t="shared" ref="AJ139:AJ145" si="120">AE139/U139</f>
        <v>0.94000000798238448</v>
      </c>
    </row>
    <row r="140" spans="2:36">
      <c r="D140" s="231" t="s">
        <v>11</v>
      </c>
      <c r="E140" s="63">
        <v>136319.56</v>
      </c>
      <c r="F140" s="63">
        <v>20447.93</v>
      </c>
      <c r="G140" s="63">
        <v>115871.62</v>
      </c>
      <c r="H140" s="63">
        <v>62570.68</v>
      </c>
      <c r="I140" s="63">
        <v>31864.7</v>
      </c>
      <c r="J140" s="63">
        <v>12977.62</v>
      </c>
      <c r="K140" s="51"/>
      <c r="L140" s="232" t="s">
        <v>11</v>
      </c>
      <c r="M140" s="109">
        <f t="shared" si="113"/>
        <v>129503.58199999999</v>
      </c>
      <c r="N140" s="109">
        <f t="shared" si="109"/>
        <v>19425.533499999998</v>
      </c>
      <c r="O140" s="109">
        <f t="shared" si="109"/>
        <v>110078.03899999999</v>
      </c>
      <c r="P140" s="109">
        <f t="shared" si="109"/>
        <v>59442.146000000001</v>
      </c>
      <c r="Q140" s="109">
        <f t="shared" si="109"/>
        <v>30271.465</v>
      </c>
      <c r="R140" s="109">
        <f t="shared" si="109"/>
        <v>12328.739</v>
      </c>
      <c r="S140" s="51"/>
      <c r="T140" s="151" t="s">
        <v>11</v>
      </c>
      <c r="U140" s="233">
        <v>136319.56</v>
      </c>
      <c r="V140" s="61">
        <v>129828.15</v>
      </c>
      <c r="W140" s="67">
        <v>128140.38</v>
      </c>
      <c r="X140" s="56">
        <f t="shared" si="114"/>
        <v>0.95238093491498943</v>
      </c>
      <c r="Y140" s="57">
        <f t="shared" si="115"/>
        <v>6.0000046948508294E-2</v>
      </c>
      <c r="Z140" s="57"/>
      <c r="AA140" s="58">
        <f t="shared" si="116"/>
        <v>8179.179999999993</v>
      </c>
      <c r="AB140" s="58">
        <f t="shared" si="110"/>
        <v>124735.11</v>
      </c>
      <c r="AC140" s="58">
        <v>8400</v>
      </c>
      <c r="AD140" s="7">
        <v>3184.45</v>
      </c>
      <c r="AE140" s="8">
        <f t="shared" si="117"/>
        <v>128140.38</v>
      </c>
      <c r="AF140" t="b">
        <f t="shared" si="118"/>
        <v>1</v>
      </c>
      <c r="AG140" s="59">
        <f t="shared" si="119"/>
        <v>136319.56</v>
      </c>
      <c r="AH140" t="b">
        <f t="shared" si="111"/>
        <v>1</v>
      </c>
      <c r="AI140" s="58">
        <f t="shared" si="112"/>
        <v>0.9369062000249222</v>
      </c>
      <c r="AJ140" s="58">
        <f t="shared" si="120"/>
        <v>0.93999995305149175</v>
      </c>
    </row>
    <row r="141" spans="2:36">
      <c r="D141" s="231" t="s">
        <v>13</v>
      </c>
      <c r="E141" s="63">
        <v>136686.12</v>
      </c>
      <c r="F141" s="63">
        <v>20502.919999999998</v>
      </c>
      <c r="G141" s="63">
        <v>116183.2</v>
      </c>
      <c r="H141" s="63">
        <v>62738.93</v>
      </c>
      <c r="I141" s="63">
        <v>31950.38</v>
      </c>
      <c r="J141" s="63">
        <v>13012.52</v>
      </c>
      <c r="K141" s="51"/>
      <c r="L141" s="232" t="s">
        <v>13</v>
      </c>
      <c r="M141" s="109">
        <f t="shared" si="113"/>
        <v>129851.81399999998</v>
      </c>
      <c r="N141" s="109">
        <f t="shared" si="109"/>
        <v>19477.773999999998</v>
      </c>
      <c r="O141" s="109">
        <f t="shared" si="109"/>
        <v>110374.04</v>
      </c>
      <c r="P141" s="109">
        <f t="shared" si="109"/>
        <v>59601.983499999995</v>
      </c>
      <c r="Q141" s="109">
        <f t="shared" si="109"/>
        <v>30352.861000000001</v>
      </c>
      <c r="R141" s="109">
        <f t="shared" si="109"/>
        <v>12361.894</v>
      </c>
      <c r="S141" s="51"/>
      <c r="T141" s="151" t="s">
        <v>13</v>
      </c>
      <c r="U141" s="233">
        <v>136686.12</v>
      </c>
      <c r="V141" s="61">
        <v>130177.26</v>
      </c>
      <c r="W141" s="67">
        <v>128484.96</v>
      </c>
      <c r="X141" s="56">
        <f t="shared" si="114"/>
        <v>0.95238097328390037</v>
      </c>
      <c r="Y141" s="57">
        <f t="shared" si="115"/>
        <v>5.9999947324570986E-2</v>
      </c>
      <c r="Z141" s="57"/>
      <c r="AA141" s="58">
        <f t="shared" si="116"/>
        <v>8201.1599999999889</v>
      </c>
      <c r="AB141" s="58">
        <f t="shared" si="110"/>
        <v>125136.12</v>
      </c>
      <c r="AC141" s="58">
        <v>11550</v>
      </c>
      <c r="AE141" s="8">
        <f t="shared" si="117"/>
        <v>128484.96</v>
      </c>
      <c r="AF141" t="b">
        <f t="shared" si="118"/>
        <v>1</v>
      </c>
      <c r="AG141" s="59">
        <f t="shared" si="119"/>
        <v>136686.12</v>
      </c>
      <c r="AH141" t="b">
        <f t="shared" si="111"/>
        <v>1</v>
      </c>
      <c r="AI141" s="58">
        <f t="shared" si="112"/>
        <v>0.91549983275551317</v>
      </c>
      <c r="AJ141" s="58">
        <f t="shared" si="120"/>
        <v>0.94000005267542897</v>
      </c>
    </row>
    <row r="142" spans="2:36">
      <c r="D142" s="231" t="s">
        <v>15</v>
      </c>
      <c r="E142" s="63">
        <v>145469.19</v>
      </c>
      <c r="F142" s="63">
        <v>21820.38</v>
      </c>
      <c r="G142" s="63">
        <v>123648.82</v>
      </c>
      <c r="H142" s="63">
        <v>66770.36</v>
      </c>
      <c r="I142" s="63">
        <v>34003.42</v>
      </c>
      <c r="J142" s="63">
        <v>13848.67</v>
      </c>
      <c r="K142" s="51"/>
      <c r="L142" s="232" t="s">
        <v>15</v>
      </c>
      <c r="M142" s="109">
        <f t="shared" si="113"/>
        <v>138195.73050000001</v>
      </c>
      <c r="N142" s="109">
        <f t="shared" si="109"/>
        <v>20729.361000000001</v>
      </c>
      <c r="O142" s="109">
        <f t="shared" si="109"/>
        <v>117466.379</v>
      </c>
      <c r="P142" s="109">
        <f t="shared" si="109"/>
        <v>63431.841999999997</v>
      </c>
      <c r="Q142" s="109">
        <f t="shared" si="109"/>
        <v>32303.248999999996</v>
      </c>
      <c r="R142" s="109">
        <f t="shared" si="109"/>
        <v>13156.236499999999</v>
      </c>
      <c r="S142" s="51"/>
      <c r="T142" s="151" t="s">
        <v>15</v>
      </c>
      <c r="U142" s="233">
        <v>145469.19</v>
      </c>
      <c r="V142" s="61">
        <v>138542.09</v>
      </c>
      <c r="W142" s="67">
        <v>136741.04</v>
      </c>
      <c r="X142" s="56">
        <f t="shared" si="114"/>
        <v>0.95238098184227182</v>
      </c>
      <c r="Y142" s="57">
        <f t="shared" si="115"/>
        <v>5.9999990375968919E-2</v>
      </c>
      <c r="Z142" s="57"/>
      <c r="AA142" s="58">
        <f t="shared" si="116"/>
        <v>8728.1499999999942</v>
      </c>
      <c r="AB142" s="58">
        <f t="shared" si="110"/>
        <v>129719.19</v>
      </c>
      <c r="AC142" s="58">
        <v>15750</v>
      </c>
      <c r="AE142" s="8">
        <f t="shared" si="117"/>
        <v>136741.04</v>
      </c>
      <c r="AF142" t="b">
        <f t="shared" si="118"/>
        <v>1</v>
      </c>
      <c r="AG142" s="59">
        <f t="shared" si="119"/>
        <v>145469.19</v>
      </c>
      <c r="AH142" t="b">
        <f t="shared" si="111"/>
        <v>1</v>
      </c>
      <c r="AI142" s="58">
        <f t="shared" si="112"/>
        <v>0.89172965079409594</v>
      </c>
      <c r="AJ142" s="58">
        <f t="shared" si="120"/>
        <v>0.94000000962403107</v>
      </c>
    </row>
    <row r="143" spans="2:36">
      <c r="D143" s="231" t="s">
        <v>17</v>
      </c>
      <c r="E143" s="63">
        <v>148653.66</v>
      </c>
      <c r="F143" s="63">
        <v>22298.05</v>
      </c>
      <c r="G143" s="63">
        <v>126355.61</v>
      </c>
      <c r="H143" s="63">
        <v>68232.03</v>
      </c>
      <c r="I143" s="63">
        <v>34747.79</v>
      </c>
      <c r="J143" s="63">
        <v>14151.83</v>
      </c>
      <c r="K143" s="51"/>
      <c r="L143" s="232" t="s">
        <v>17</v>
      </c>
      <c r="M143" s="109">
        <f t="shared" si="113"/>
        <v>141220.97699999998</v>
      </c>
      <c r="N143" s="109">
        <f t="shared" si="109"/>
        <v>21183.147499999999</v>
      </c>
      <c r="O143" s="109">
        <f t="shared" si="109"/>
        <v>120037.82949999999</v>
      </c>
      <c r="P143" s="109">
        <f t="shared" si="109"/>
        <v>64820.428499999995</v>
      </c>
      <c r="Q143" s="109">
        <f t="shared" si="109"/>
        <v>33010.400499999996</v>
      </c>
      <c r="R143" s="109">
        <f t="shared" si="109"/>
        <v>13444.238499999999</v>
      </c>
      <c r="S143" s="51"/>
      <c r="T143" s="151" t="s">
        <v>17</v>
      </c>
      <c r="U143" s="234">
        <v>148653.66</v>
      </c>
      <c r="V143" s="235">
        <v>141574.91</v>
      </c>
      <c r="W143" s="67">
        <v>139734.44</v>
      </c>
      <c r="X143" s="56">
        <f t="shared" si="114"/>
        <v>0.95238092355075554</v>
      </c>
      <c r="Y143" s="57">
        <f t="shared" si="115"/>
        <v>6.0000002690818385E-2</v>
      </c>
      <c r="Z143" s="57"/>
      <c r="AA143" s="58">
        <f t="shared" si="116"/>
        <v>8919.2200000000012</v>
      </c>
      <c r="AB143" s="58">
        <f t="shared" si="110"/>
        <v>129719.21</v>
      </c>
      <c r="AC143" s="58">
        <v>15750</v>
      </c>
      <c r="AD143" s="7">
        <v>3184.45</v>
      </c>
      <c r="AE143" s="8">
        <f t="shared" si="117"/>
        <v>139734.44000000003</v>
      </c>
      <c r="AF143" t="b">
        <f t="shared" si="118"/>
        <v>1</v>
      </c>
      <c r="AG143" s="59">
        <f t="shared" si="119"/>
        <v>148653.66000000003</v>
      </c>
      <c r="AH143" t="b">
        <f t="shared" si="111"/>
        <v>1</v>
      </c>
      <c r="AI143" s="58">
        <f t="shared" si="112"/>
        <v>0.8917296656797683</v>
      </c>
      <c r="AJ143" s="58">
        <f t="shared" si="120"/>
        <v>0.93999999730918182</v>
      </c>
    </row>
    <row r="144" spans="2:36">
      <c r="D144" s="236" t="s">
        <v>19</v>
      </c>
      <c r="E144" s="63">
        <v>150883.46</v>
      </c>
      <c r="F144" s="63">
        <v>22632.52</v>
      </c>
      <c r="G144" s="63">
        <v>128250.94</v>
      </c>
      <c r="H144" s="63">
        <v>69255.509999999995</v>
      </c>
      <c r="I144" s="63">
        <v>35269.01</v>
      </c>
      <c r="J144" s="63">
        <v>14364.11</v>
      </c>
      <c r="K144" s="51"/>
      <c r="L144" s="237" t="s">
        <v>19</v>
      </c>
      <c r="M144" s="109">
        <f t="shared" si="113"/>
        <v>143339.28699999998</v>
      </c>
      <c r="N144" s="109">
        <f t="shared" si="109"/>
        <v>21500.894</v>
      </c>
      <c r="O144" s="109">
        <f t="shared" si="109"/>
        <v>121838.393</v>
      </c>
      <c r="P144" s="109">
        <f t="shared" si="109"/>
        <v>65792.734499999991</v>
      </c>
      <c r="Q144" s="109">
        <f t="shared" si="109"/>
        <v>33505.559500000003</v>
      </c>
      <c r="R144" s="109">
        <f t="shared" si="109"/>
        <v>13645.904500000001</v>
      </c>
      <c r="S144" s="51"/>
      <c r="T144" s="69" t="s">
        <v>19</v>
      </c>
      <c r="U144" s="63">
        <v>150883.46</v>
      </c>
      <c r="V144" s="63">
        <v>143698.53</v>
      </c>
      <c r="W144" s="67">
        <v>141830.45000000001</v>
      </c>
      <c r="X144" s="56">
        <f>V144/U144</f>
        <v>0.95238093028884685</v>
      </c>
      <c r="Y144" s="57">
        <f t="shared" si="115"/>
        <v>6.0000015906315915E-2</v>
      </c>
      <c r="Z144" s="57"/>
      <c r="AA144" s="58">
        <f t="shared" si="116"/>
        <v>9053.0099999999802</v>
      </c>
      <c r="AB144" s="58">
        <f t="shared" si="110"/>
        <v>134083.46</v>
      </c>
      <c r="AC144" s="58">
        <v>16800</v>
      </c>
      <c r="AE144" s="8">
        <f t="shared" si="117"/>
        <v>141830.45000000001</v>
      </c>
      <c r="AF144" t="b">
        <f t="shared" si="118"/>
        <v>1</v>
      </c>
      <c r="AG144" s="59">
        <f t="shared" si="119"/>
        <v>150883.46</v>
      </c>
      <c r="AH144" t="b">
        <f t="shared" si="111"/>
        <v>1</v>
      </c>
      <c r="AI144" s="58">
        <f t="shared" si="112"/>
        <v>0.88865578771854781</v>
      </c>
      <c r="AJ144" s="58">
        <f t="shared" si="120"/>
        <v>0.93999998409368413</v>
      </c>
    </row>
    <row r="145" spans="2:36">
      <c r="D145" s="238" t="s">
        <v>21</v>
      </c>
      <c r="E145" s="63">
        <v>152392.29999999999</v>
      </c>
      <c r="F145" s="63">
        <v>22858.84</v>
      </c>
      <c r="G145" s="63">
        <v>129533.45</v>
      </c>
      <c r="H145" s="63">
        <v>69948.06</v>
      </c>
      <c r="I145" s="63">
        <v>35621.699999999997</v>
      </c>
      <c r="J145" s="63">
        <v>14507.75</v>
      </c>
      <c r="K145" s="51"/>
      <c r="L145" s="239" t="s">
        <v>21</v>
      </c>
      <c r="M145" s="109">
        <f t="shared" si="113"/>
        <v>144772.68499999997</v>
      </c>
      <c r="N145" s="109">
        <f t="shared" si="109"/>
        <v>21715.897999999997</v>
      </c>
      <c r="O145" s="109">
        <f t="shared" si="109"/>
        <v>123056.7775</v>
      </c>
      <c r="P145" s="109">
        <f t="shared" si="109"/>
        <v>66450.656999999992</v>
      </c>
      <c r="Q145" s="109">
        <f t="shared" si="109"/>
        <v>33840.614999999998</v>
      </c>
      <c r="R145" s="109">
        <f t="shared" si="109"/>
        <v>13782.362499999999</v>
      </c>
      <c r="S145" s="51"/>
      <c r="T145" s="69" t="s">
        <v>21</v>
      </c>
      <c r="U145" s="63">
        <v>152392.29999999999</v>
      </c>
      <c r="V145" s="63">
        <v>145135.51999999999</v>
      </c>
      <c r="W145" s="67">
        <v>143248.76</v>
      </c>
      <c r="X145" s="56">
        <f t="shared" si="114"/>
        <v>0.95238092738281399</v>
      </c>
      <c r="Y145" s="57">
        <f t="shared" si="115"/>
        <v>6.000001312402254E-2</v>
      </c>
      <c r="Z145" s="57"/>
      <c r="AA145" s="58">
        <f t="shared" si="116"/>
        <v>9143.539999999979</v>
      </c>
      <c r="AB145" s="58">
        <f t="shared" si="110"/>
        <v>135592.29999999999</v>
      </c>
      <c r="AC145" s="58">
        <v>16800</v>
      </c>
      <c r="AE145" s="8">
        <f t="shared" si="117"/>
        <v>143248.76</v>
      </c>
      <c r="AF145" t="b">
        <f t="shared" si="118"/>
        <v>1</v>
      </c>
      <c r="AG145" s="59">
        <f t="shared" si="119"/>
        <v>152392.29999999999</v>
      </c>
      <c r="AH145" t="b">
        <f t="shared" si="111"/>
        <v>1</v>
      </c>
      <c r="AI145" s="58">
        <f t="shared" si="112"/>
        <v>0.88975820956833118</v>
      </c>
      <c r="AJ145" s="58">
        <f t="shared" si="120"/>
        <v>0.93999998687597741</v>
      </c>
    </row>
    <row r="146" spans="2:36">
      <c r="D146" s="83" t="s">
        <v>55</v>
      </c>
      <c r="E146" s="37"/>
      <c r="F146" s="37"/>
      <c r="G146" s="37"/>
      <c r="H146" s="37"/>
      <c r="I146" s="37"/>
      <c r="J146" s="37"/>
      <c r="K146" s="37"/>
      <c r="L146" s="84" t="s">
        <v>55</v>
      </c>
      <c r="M146" s="5"/>
      <c r="N146" s="5"/>
      <c r="O146" s="5"/>
      <c r="P146" s="5"/>
      <c r="Q146" s="5"/>
      <c r="R146" s="5"/>
      <c r="S146" s="37"/>
      <c r="T146" s="3"/>
      <c r="U146" s="3"/>
      <c r="V146" s="3"/>
      <c r="W146" s="6"/>
      <c r="Y146" s="57"/>
      <c r="Z146" s="57"/>
      <c r="AA146" s="58"/>
      <c r="AB146" s="58"/>
      <c r="AC146" s="58"/>
      <c r="AG146" s="59"/>
      <c r="AI146" s="58"/>
      <c r="AJ146" s="58"/>
    </row>
    <row r="147" spans="2:36">
      <c r="D147" s="83" t="s">
        <v>56</v>
      </c>
      <c r="E147" s="37"/>
      <c r="F147" s="37"/>
      <c r="G147" s="37"/>
      <c r="H147" s="37"/>
      <c r="I147" s="37"/>
      <c r="J147" s="37"/>
      <c r="K147" s="37"/>
      <c r="L147" s="84" t="s">
        <v>56</v>
      </c>
      <c r="M147" s="5"/>
      <c r="N147" s="5"/>
      <c r="O147" s="5"/>
      <c r="P147" s="5"/>
      <c r="Q147" s="5"/>
      <c r="R147" s="5"/>
      <c r="S147" s="37"/>
      <c r="T147" s="3"/>
      <c r="U147" s="3"/>
      <c r="V147" s="3"/>
      <c r="W147" s="6"/>
    </row>
    <row r="148" spans="2:36" ht="27.95" customHeight="1">
      <c r="D148" s="345" t="s">
        <v>57</v>
      </c>
      <c r="E148" s="345"/>
      <c r="F148" s="345"/>
      <c r="G148" s="345"/>
      <c r="H148" s="345"/>
      <c r="I148" s="345"/>
      <c r="J148" s="345"/>
      <c r="K148" s="81"/>
      <c r="L148" s="328" t="s">
        <v>57</v>
      </c>
      <c r="M148" s="328"/>
      <c r="N148" s="328"/>
      <c r="O148" s="328"/>
      <c r="P148" s="328"/>
      <c r="Q148" s="328"/>
      <c r="R148" s="328"/>
      <c r="S148" s="81"/>
      <c r="T148" s="3"/>
      <c r="U148" s="3"/>
      <c r="V148" s="3"/>
      <c r="W148" s="6"/>
    </row>
    <row r="149" spans="2:36">
      <c r="D149" s="174"/>
      <c r="E149" s="3"/>
      <c r="F149" s="3"/>
      <c r="G149" s="3"/>
      <c r="H149" s="3"/>
      <c r="I149" s="3"/>
      <c r="J149" s="3"/>
      <c r="K149" s="3"/>
      <c r="L149" s="84"/>
      <c r="M149" s="5"/>
      <c r="N149" s="5"/>
      <c r="O149" s="5"/>
      <c r="P149" s="5"/>
      <c r="Q149" s="5"/>
      <c r="R149" s="5"/>
      <c r="S149" s="3"/>
      <c r="T149" s="3"/>
      <c r="U149" s="3"/>
      <c r="V149" s="138"/>
      <c r="W149" s="14"/>
    </row>
    <row r="150" spans="2:36" ht="20.100000000000001" customHeight="1">
      <c r="B150" s="1" t="s">
        <v>34</v>
      </c>
      <c r="D150" s="355" t="s">
        <v>1</v>
      </c>
      <c r="E150" s="333" t="s">
        <v>66</v>
      </c>
      <c r="F150" s="335" t="s">
        <v>58</v>
      </c>
      <c r="G150" s="336"/>
      <c r="H150" s="336"/>
      <c r="I150" s="336"/>
      <c r="J150" s="337"/>
      <c r="K150" s="240"/>
      <c r="L150" s="338" t="s">
        <v>1</v>
      </c>
      <c r="M150" s="340" t="s">
        <v>67</v>
      </c>
      <c r="N150" s="342" t="s">
        <v>58</v>
      </c>
      <c r="O150" s="343"/>
      <c r="P150" s="343"/>
      <c r="Q150" s="343"/>
      <c r="R150" s="344"/>
      <c r="S150" s="240"/>
      <c r="T150" s="241"/>
      <c r="U150" s="242"/>
      <c r="W150" s="243"/>
    </row>
    <row r="151" spans="2:36" ht="143.25">
      <c r="D151" s="356"/>
      <c r="E151" s="334"/>
      <c r="F151" s="16" t="s">
        <v>39</v>
      </c>
      <c r="G151" s="17" t="s">
        <v>40</v>
      </c>
      <c r="H151" s="18" t="s">
        <v>41</v>
      </c>
      <c r="I151" s="18" t="s">
        <v>42</v>
      </c>
      <c r="J151" s="19" t="s">
        <v>43</v>
      </c>
      <c r="K151" s="20"/>
      <c r="L151" s="339"/>
      <c r="M151" s="341"/>
      <c r="N151" s="21" t="s">
        <v>39</v>
      </c>
      <c r="O151" s="22" t="s">
        <v>40</v>
      </c>
      <c r="P151" s="23" t="s">
        <v>41</v>
      </c>
      <c r="Q151" s="23" t="s">
        <v>42</v>
      </c>
      <c r="R151" s="24" t="s">
        <v>43</v>
      </c>
      <c r="S151" s="20"/>
      <c r="T151" s="244" t="s">
        <v>1</v>
      </c>
      <c r="U151" s="245" t="s">
        <v>68</v>
      </c>
      <c r="V151" s="246" t="s">
        <v>69</v>
      </c>
      <c r="W151" s="246" t="s">
        <v>69</v>
      </c>
      <c r="AA151" s="28" t="s">
        <v>47</v>
      </c>
      <c r="AB151" s="28" t="s">
        <v>48</v>
      </c>
      <c r="AC151" s="29" t="s">
        <v>49</v>
      </c>
      <c r="AD151" s="30" t="s">
        <v>50</v>
      </c>
      <c r="AE151" s="31" t="s">
        <v>51</v>
      </c>
      <c r="AG151" s="32" t="s">
        <v>52</v>
      </c>
    </row>
    <row r="152" spans="2:36">
      <c r="D152" s="215"/>
      <c r="E152" s="98"/>
      <c r="F152" s="98"/>
      <c r="G152" s="98"/>
      <c r="H152" s="98"/>
      <c r="I152" s="98"/>
      <c r="J152" s="247"/>
      <c r="K152" s="99"/>
      <c r="L152" s="216"/>
      <c r="M152" s="101"/>
      <c r="N152" s="101"/>
      <c r="O152" s="101"/>
      <c r="P152" s="101"/>
      <c r="Q152" s="101"/>
      <c r="R152" s="248"/>
      <c r="S152" s="99"/>
      <c r="U152" s="249"/>
      <c r="V152" s="250"/>
      <c r="W152" s="251"/>
      <c r="Y152" s="57"/>
      <c r="Z152" s="57"/>
      <c r="AA152" s="58"/>
      <c r="AB152" s="58"/>
      <c r="AC152" s="58"/>
      <c r="AG152" s="59"/>
      <c r="AI152" s="58"/>
      <c r="AJ152" s="58"/>
    </row>
    <row r="153" spans="2:36">
      <c r="D153" s="110" t="s">
        <v>7</v>
      </c>
      <c r="E153" s="252">
        <v>99814.671245147998</v>
      </c>
      <c r="F153" s="253">
        <f>E153*0.15</f>
        <v>14972.200686772199</v>
      </c>
      <c r="G153" s="254">
        <f>E153-F153</f>
        <v>84842.470558375804</v>
      </c>
      <c r="H153" s="253">
        <f>(E153-F153)*1.08/2</f>
        <v>45814.934101522937</v>
      </c>
      <c r="I153" s="253">
        <f>(E153-F153)*1.1/4</f>
        <v>23331.679403553349</v>
      </c>
      <c r="J153" s="255">
        <f>(E153-F153)*1.12/10</f>
        <v>9502.3567025380908</v>
      </c>
      <c r="K153" s="58"/>
      <c r="L153" s="256" t="s">
        <v>7</v>
      </c>
      <c r="M153" s="257">
        <f>E153*0.95</f>
        <v>94823.937682890595</v>
      </c>
      <c r="N153" s="257">
        <f t="shared" ref="N153:R158" si="121">F153*0.95</f>
        <v>14223.590652433588</v>
      </c>
      <c r="O153" s="257">
        <f t="shared" si="121"/>
        <v>80600.347030457007</v>
      </c>
      <c r="P153" s="257">
        <f t="shared" si="121"/>
        <v>43524.187396446789</v>
      </c>
      <c r="Q153" s="257">
        <f t="shared" si="121"/>
        <v>22165.095433375682</v>
      </c>
      <c r="R153" s="258">
        <f t="shared" si="121"/>
        <v>9027.2388674111862</v>
      </c>
      <c r="S153" s="58"/>
      <c r="T153" s="110" t="s">
        <v>7</v>
      </c>
      <c r="U153" s="259">
        <v>117429.02</v>
      </c>
      <c r="V153" s="260">
        <f>U153*0.85</f>
        <v>99814.667000000001</v>
      </c>
      <c r="W153" s="261">
        <f>U153*0.85</f>
        <v>99814.667000000001</v>
      </c>
      <c r="X153" s="56">
        <f>V153/U153</f>
        <v>0.85</v>
      </c>
      <c r="Y153" s="57">
        <f>AA153/U153</f>
        <v>0.15000000000000002</v>
      </c>
      <c r="Z153" s="57"/>
      <c r="AA153" s="58">
        <f>U153-W153</f>
        <v>17614.353000000003</v>
      </c>
      <c r="AB153" s="58">
        <f>U153-AC153-AD153</f>
        <v>111929.02</v>
      </c>
      <c r="AC153" s="58">
        <v>5500</v>
      </c>
      <c r="AE153" s="8">
        <f t="shared" ref="AE153:AE158" si="122">SUM(AB153:AD153)-AA153</f>
        <v>99814.667000000001</v>
      </c>
      <c r="AF153" t="b">
        <f>AE153=W153</f>
        <v>1</v>
      </c>
      <c r="AG153" s="59">
        <f t="shared" ref="AG153:AG158" si="123">SUM(AB153:AD153)</f>
        <v>117429.02</v>
      </c>
      <c r="AH153" t="b">
        <f t="shared" ref="AH153:AH158" si="124">AG153=U153</f>
        <v>1</v>
      </c>
      <c r="AI153" s="58">
        <f t="shared" ref="AI153:AI158" si="125">AB153/(U153-AD153)</f>
        <v>0.95316319594594245</v>
      </c>
      <c r="AJ153" s="58">
        <f t="shared" ref="AJ153:AJ158" si="126">AE153/U153</f>
        <v>0.85</v>
      </c>
    </row>
    <row r="154" spans="2:36">
      <c r="D154" s="119" t="s">
        <v>54</v>
      </c>
      <c r="E154" s="262">
        <v>101413.78235218117</v>
      </c>
      <c r="F154" s="263">
        <f>E154*0.15</f>
        <v>15212.067352827175</v>
      </c>
      <c r="G154" s="264">
        <f t="shared" ref="G154:G158" si="127">E154-F154</f>
        <v>86201.714999353993</v>
      </c>
      <c r="H154" s="263">
        <f t="shared" ref="H154:H158" si="128">(E154-F154)*1.08/2</f>
        <v>46548.926099651158</v>
      </c>
      <c r="I154" s="263">
        <f t="shared" ref="I154:I158" si="129">(E154-F154)*1.1/4</f>
        <v>23705.471624822349</v>
      </c>
      <c r="J154" s="265">
        <f>(E154-F154)*1.12/10</f>
        <v>9654.5920799276482</v>
      </c>
      <c r="K154" s="58"/>
      <c r="L154" s="266" t="s">
        <v>54</v>
      </c>
      <c r="M154" s="109">
        <f t="shared" ref="M154:M158" si="130">E154*0.95</f>
        <v>96343.093234572108</v>
      </c>
      <c r="N154" s="109">
        <f t="shared" si="121"/>
        <v>14451.463985185816</v>
      </c>
      <c r="O154" s="109">
        <f t="shared" si="121"/>
        <v>81891.629249386286</v>
      </c>
      <c r="P154" s="109">
        <f t="shared" si="121"/>
        <v>44221.479794668601</v>
      </c>
      <c r="Q154" s="109">
        <f t="shared" si="121"/>
        <v>22520.198043581229</v>
      </c>
      <c r="R154" s="267">
        <f t="shared" si="121"/>
        <v>9171.8624759312661</v>
      </c>
      <c r="S154" s="58"/>
      <c r="T154" s="119" t="s">
        <v>54</v>
      </c>
      <c r="U154" s="268">
        <v>119310.33</v>
      </c>
      <c r="V154" s="260">
        <f>U154*0.85</f>
        <v>101413.78049999999</v>
      </c>
      <c r="W154" s="261">
        <f>U154*0.85</f>
        <v>101413.78049999999</v>
      </c>
      <c r="X154" s="56">
        <f t="shared" ref="X154:X158" si="131">V154/U154</f>
        <v>0.85</v>
      </c>
      <c r="Y154" s="57">
        <f t="shared" ref="Y154:Y158" si="132">AA154/U154</f>
        <v>0.15000000000000008</v>
      </c>
      <c r="Z154" s="57"/>
      <c r="AA154" s="58">
        <f t="shared" ref="AA154:AA156" si="133">U154-W154</f>
        <v>17896.549500000008</v>
      </c>
      <c r="AB154" s="58">
        <f t="shared" ref="AB154:AB158" si="134">U154-AC154-AD154</f>
        <v>113810.33</v>
      </c>
      <c r="AC154" s="58">
        <v>5500</v>
      </c>
      <c r="AE154" s="8">
        <f t="shared" si="122"/>
        <v>101413.78049999999</v>
      </c>
      <c r="AF154" t="b">
        <f t="shared" ref="AF154:AF158" si="135">AE154=W154</f>
        <v>1</v>
      </c>
      <c r="AG154" s="59">
        <f t="shared" si="123"/>
        <v>119310.33</v>
      </c>
      <c r="AH154" t="b">
        <f t="shared" si="124"/>
        <v>1</v>
      </c>
      <c r="AI154" s="58">
        <f t="shared" si="125"/>
        <v>0.95390172837507026</v>
      </c>
      <c r="AJ154" s="58">
        <f t="shared" si="126"/>
        <v>0.85</v>
      </c>
    </row>
    <row r="155" spans="2:36">
      <c r="D155" s="119" t="s">
        <v>11</v>
      </c>
      <c r="E155" s="262">
        <v>110353.93026599652</v>
      </c>
      <c r="F155" s="263">
        <f>E155*0.15</f>
        <v>16553.089539899476</v>
      </c>
      <c r="G155" s="264">
        <f t="shared" si="127"/>
        <v>93800.840726097042</v>
      </c>
      <c r="H155" s="263">
        <f t="shared" si="128"/>
        <v>50652.453992092407</v>
      </c>
      <c r="I155" s="263">
        <f t="shared" si="129"/>
        <v>25795.231199676688</v>
      </c>
      <c r="J155" s="265">
        <f>(E155-F155)*1.12/10</f>
        <v>10505.69416132287</v>
      </c>
      <c r="K155" s="58"/>
      <c r="L155" s="266" t="s">
        <v>11</v>
      </c>
      <c r="M155" s="109">
        <f t="shared" si="130"/>
        <v>104836.23375269669</v>
      </c>
      <c r="N155" s="109">
        <f t="shared" si="121"/>
        <v>15725.435062904502</v>
      </c>
      <c r="O155" s="109">
        <f t="shared" si="121"/>
        <v>89110.79868979218</v>
      </c>
      <c r="P155" s="109">
        <f t="shared" si="121"/>
        <v>48119.831292487783</v>
      </c>
      <c r="Q155" s="109">
        <f t="shared" si="121"/>
        <v>24505.469639692852</v>
      </c>
      <c r="R155" s="267">
        <f t="shared" si="121"/>
        <v>9980.4094532567269</v>
      </c>
      <c r="S155" s="58"/>
      <c r="T155" s="119" t="s">
        <v>11</v>
      </c>
      <c r="U155" s="268">
        <v>129828.15</v>
      </c>
      <c r="V155" s="260">
        <f>U155*0.85</f>
        <v>110353.92749999999</v>
      </c>
      <c r="W155" s="261">
        <f>U155*0.85</f>
        <v>110353.92749999999</v>
      </c>
      <c r="X155" s="56">
        <f>V155/U155</f>
        <v>0.85</v>
      </c>
      <c r="Y155" s="57">
        <f t="shared" si="132"/>
        <v>0.15000000000000002</v>
      </c>
      <c r="Z155" s="57"/>
      <c r="AA155" s="58">
        <f t="shared" si="133"/>
        <v>19474.222500000003</v>
      </c>
      <c r="AB155" s="58">
        <f t="shared" si="134"/>
        <v>118795.32999999999</v>
      </c>
      <c r="AC155" s="58">
        <v>8000</v>
      </c>
      <c r="AD155" s="7">
        <v>3032.82</v>
      </c>
      <c r="AE155" s="8">
        <f t="shared" si="122"/>
        <v>110353.92749999999</v>
      </c>
      <c r="AF155" t="b">
        <f t="shared" si="135"/>
        <v>1</v>
      </c>
      <c r="AG155" s="59">
        <f t="shared" si="123"/>
        <v>129828.15</v>
      </c>
      <c r="AH155" t="b">
        <f t="shared" si="124"/>
        <v>1</v>
      </c>
      <c r="AI155" s="58">
        <f t="shared" si="125"/>
        <v>0.93690619362716276</v>
      </c>
      <c r="AJ155" s="58">
        <f t="shared" si="126"/>
        <v>0.85</v>
      </c>
    </row>
    <row r="156" spans="2:36">
      <c r="D156" s="119" t="s">
        <v>13</v>
      </c>
      <c r="E156" s="262">
        <v>110650.67077160453</v>
      </c>
      <c r="F156" s="263">
        <f>E156*0.15</f>
        <v>16597.600615740681</v>
      </c>
      <c r="G156" s="264">
        <f t="shared" si="127"/>
        <v>94053.070155863854</v>
      </c>
      <c r="H156" s="263">
        <f t="shared" si="128"/>
        <v>50788.657884166481</v>
      </c>
      <c r="I156" s="263">
        <f t="shared" si="129"/>
        <v>25864.594292862563</v>
      </c>
      <c r="J156" s="265">
        <f>(E156-F156)*1.12/10</f>
        <v>10533.943857456752</v>
      </c>
      <c r="K156" s="58"/>
      <c r="L156" s="266" t="s">
        <v>13</v>
      </c>
      <c r="M156" s="109">
        <f t="shared" si="130"/>
        <v>105118.1372330243</v>
      </c>
      <c r="N156" s="109">
        <f t="shared" si="121"/>
        <v>15767.720584953646</v>
      </c>
      <c r="O156" s="109">
        <f t="shared" si="121"/>
        <v>89350.416648070663</v>
      </c>
      <c r="P156" s="109">
        <f t="shared" si="121"/>
        <v>48249.224989958158</v>
      </c>
      <c r="Q156" s="109">
        <f t="shared" si="121"/>
        <v>24571.364578219433</v>
      </c>
      <c r="R156" s="267">
        <f t="shared" si="121"/>
        <v>10007.246664583914</v>
      </c>
      <c r="S156" s="58"/>
      <c r="T156" s="119" t="s">
        <v>13</v>
      </c>
      <c r="U156" s="269">
        <v>130177.26</v>
      </c>
      <c r="V156" s="260">
        <f>U156*0.85</f>
        <v>110650.67099999999</v>
      </c>
      <c r="W156" s="261">
        <f>U156*0.85</f>
        <v>110650.67099999999</v>
      </c>
      <c r="X156" s="56">
        <f t="shared" si="131"/>
        <v>0.85</v>
      </c>
      <c r="Y156" s="57">
        <f t="shared" si="132"/>
        <v>0.15000000000000005</v>
      </c>
      <c r="Z156" s="57"/>
      <c r="AA156" s="58">
        <f>U156-W156</f>
        <v>19526.589000000007</v>
      </c>
      <c r="AB156" s="58">
        <f t="shared" si="134"/>
        <v>119177.26</v>
      </c>
      <c r="AC156" s="58">
        <v>11000</v>
      </c>
      <c r="AE156" s="8">
        <f t="shared" si="122"/>
        <v>110650.67099999999</v>
      </c>
      <c r="AF156" t="b">
        <f t="shared" si="135"/>
        <v>1</v>
      </c>
      <c r="AG156" s="59">
        <f t="shared" si="123"/>
        <v>130177.26</v>
      </c>
      <c r="AH156" t="b">
        <f t="shared" si="124"/>
        <v>1</v>
      </c>
      <c r="AI156" s="58">
        <f t="shared" si="125"/>
        <v>0.91549983461013085</v>
      </c>
      <c r="AJ156" s="58">
        <f t="shared" si="126"/>
        <v>0.85</v>
      </c>
    </row>
    <row r="157" spans="2:36">
      <c r="D157" s="270" t="s">
        <v>15</v>
      </c>
      <c r="E157" s="262">
        <f>138542.093471995*0.85</f>
        <v>117760.77945119575</v>
      </c>
      <c r="F157" s="263">
        <f t="shared" ref="F157:F158" si="136">E157*0.15</f>
        <v>17664.116917679363</v>
      </c>
      <c r="G157" s="264">
        <f t="shared" si="127"/>
        <v>100096.66253351638</v>
      </c>
      <c r="H157" s="263">
        <f t="shared" si="128"/>
        <v>54052.197768098849</v>
      </c>
      <c r="I157" s="263">
        <f t="shared" si="129"/>
        <v>27526.582196717009</v>
      </c>
      <c r="J157" s="265">
        <f t="shared" ref="J157:J158" si="137">(E157-F157)*1.12/10</f>
        <v>11210.826203753835</v>
      </c>
      <c r="K157" s="58"/>
      <c r="L157" s="271" t="s">
        <v>15</v>
      </c>
      <c r="M157" s="109">
        <f t="shared" si="130"/>
        <v>111872.74047863595</v>
      </c>
      <c r="N157" s="109">
        <f t="shared" si="121"/>
        <v>16780.911071795395</v>
      </c>
      <c r="O157" s="109">
        <f t="shared" si="121"/>
        <v>95091.829406840567</v>
      </c>
      <c r="P157" s="109">
        <f t="shared" si="121"/>
        <v>51349.587879693907</v>
      </c>
      <c r="Q157" s="109">
        <f t="shared" si="121"/>
        <v>26150.253086881155</v>
      </c>
      <c r="R157" s="267">
        <f t="shared" si="121"/>
        <v>10650.284893566142</v>
      </c>
      <c r="S157" s="58"/>
      <c r="T157" s="270" t="s">
        <v>15</v>
      </c>
      <c r="U157" s="269">
        <v>138542.09</v>
      </c>
      <c r="V157" s="260">
        <f>U157*0.85</f>
        <v>117760.77649999999</v>
      </c>
      <c r="W157" s="261">
        <f t="shared" ref="W157:W158" si="138">U157*0.85</f>
        <v>117760.77649999999</v>
      </c>
      <c r="X157" s="56">
        <f t="shared" si="131"/>
        <v>0.85</v>
      </c>
      <c r="Y157" s="57">
        <f t="shared" si="132"/>
        <v>0.15000000000000002</v>
      </c>
      <c r="Z157" s="57"/>
      <c r="AA157" s="58">
        <f t="shared" ref="AA157:AA158" si="139">U157-W157</f>
        <v>20781.313500000004</v>
      </c>
      <c r="AB157" s="58">
        <f t="shared" si="134"/>
        <v>123542.09</v>
      </c>
      <c r="AC157" s="58">
        <v>15000</v>
      </c>
      <c r="AE157" s="8">
        <f t="shared" si="122"/>
        <v>117760.77649999999</v>
      </c>
      <c r="AF157" t="b">
        <f t="shared" si="135"/>
        <v>1</v>
      </c>
      <c r="AG157" s="59">
        <f t="shared" si="123"/>
        <v>138542.09</v>
      </c>
      <c r="AH157" t="b">
        <f t="shared" si="124"/>
        <v>1</v>
      </c>
      <c r="AI157" s="58">
        <f t="shared" si="125"/>
        <v>0.89172965414337257</v>
      </c>
      <c r="AJ157" s="58">
        <f t="shared" si="126"/>
        <v>0.85</v>
      </c>
    </row>
    <row r="158" spans="2:36">
      <c r="D158" s="272" t="s">
        <v>17</v>
      </c>
      <c r="E158" s="273">
        <f>141574.906111995*0.85</f>
        <v>120338.67019519574</v>
      </c>
      <c r="F158" s="274">
        <f t="shared" si="136"/>
        <v>18050.80052927936</v>
      </c>
      <c r="G158" s="275">
        <f t="shared" si="127"/>
        <v>102287.86966591637</v>
      </c>
      <c r="H158" s="274">
        <f t="shared" si="128"/>
        <v>55235.449619594845</v>
      </c>
      <c r="I158" s="274">
        <f t="shared" si="129"/>
        <v>28129.164158127005</v>
      </c>
      <c r="J158" s="276">
        <f t="shared" si="137"/>
        <v>11456.241402582635</v>
      </c>
      <c r="K158" s="58"/>
      <c r="L158" s="277" t="s">
        <v>17</v>
      </c>
      <c r="M158" s="278">
        <f t="shared" si="130"/>
        <v>114321.73668543594</v>
      </c>
      <c r="N158" s="278">
        <f t="shared" si="121"/>
        <v>17148.260502815392</v>
      </c>
      <c r="O158" s="278">
        <f t="shared" si="121"/>
        <v>97173.47618262055</v>
      </c>
      <c r="P158" s="278">
        <f t="shared" si="121"/>
        <v>52473.677138615101</v>
      </c>
      <c r="Q158" s="278">
        <f t="shared" si="121"/>
        <v>26722.705950220654</v>
      </c>
      <c r="R158" s="279">
        <f t="shared" si="121"/>
        <v>10883.429332453503</v>
      </c>
      <c r="S158" s="58"/>
      <c r="T158" s="272" t="s">
        <v>17</v>
      </c>
      <c r="U158" s="269">
        <v>141574.91</v>
      </c>
      <c r="V158" s="260">
        <f t="shared" ref="V158" si="140">U158*0.85</f>
        <v>120338.6735</v>
      </c>
      <c r="W158" s="261">
        <f t="shared" si="138"/>
        <v>120338.6735</v>
      </c>
      <c r="X158" s="56">
        <f t="shared" si="131"/>
        <v>0.85</v>
      </c>
      <c r="Y158" s="57">
        <f t="shared" si="132"/>
        <v>0.15</v>
      </c>
      <c r="Z158" s="57"/>
      <c r="AA158" s="58">
        <f t="shared" si="139"/>
        <v>21236.236499999999</v>
      </c>
      <c r="AB158" s="58">
        <f t="shared" si="134"/>
        <v>123390.46</v>
      </c>
      <c r="AC158" s="58">
        <v>15000</v>
      </c>
      <c r="AD158" s="7">
        <v>3184.45</v>
      </c>
      <c r="AE158" s="8">
        <f t="shared" si="122"/>
        <v>120338.67350000003</v>
      </c>
      <c r="AF158" t="b">
        <f t="shared" si="135"/>
        <v>1</v>
      </c>
      <c r="AG158" s="59">
        <f t="shared" si="123"/>
        <v>141574.91000000003</v>
      </c>
      <c r="AH158" t="b">
        <f t="shared" si="124"/>
        <v>1</v>
      </c>
      <c r="AI158" s="58">
        <f t="shared" si="125"/>
        <v>0.89161102578891649</v>
      </c>
      <c r="AJ158" s="58">
        <f t="shared" si="126"/>
        <v>0.8500000000000002</v>
      </c>
    </row>
    <row r="159" spans="2:36">
      <c r="D159" s="83" t="s">
        <v>55</v>
      </c>
      <c r="E159" s="3"/>
      <c r="F159" s="3"/>
      <c r="G159" s="3"/>
      <c r="H159" s="3"/>
      <c r="I159" s="3"/>
      <c r="J159" s="3"/>
      <c r="K159" s="3"/>
      <c r="L159" s="84" t="s">
        <v>55</v>
      </c>
      <c r="M159" s="5"/>
      <c r="N159" s="5"/>
      <c r="O159" s="5"/>
      <c r="P159" s="5"/>
      <c r="Q159" s="5"/>
      <c r="R159" s="5"/>
      <c r="S159" s="3"/>
      <c r="T159" s="3"/>
      <c r="U159" s="3"/>
      <c r="V159" s="3"/>
      <c r="W159" s="6"/>
      <c r="Y159" s="57"/>
      <c r="Z159" s="57"/>
      <c r="AA159" s="58"/>
      <c r="AB159" s="58"/>
      <c r="AC159" s="58"/>
      <c r="AG159" s="59"/>
      <c r="AI159" s="58"/>
      <c r="AJ159" s="58"/>
    </row>
    <row r="160" spans="2:36" ht="27.95" customHeight="1">
      <c r="D160" s="345" t="s">
        <v>57</v>
      </c>
      <c r="E160" s="345"/>
      <c r="F160" s="345"/>
      <c r="G160" s="345"/>
      <c r="H160" s="345"/>
      <c r="I160" s="345"/>
      <c r="J160" s="345"/>
      <c r="K160" s="81"/>
      <c r="L160" s="328" t="s">
        <v>57</v>
      </c>
      <c r="M160" s="328"/>
      <c r="N160" s="328"/>
      <c r="O160" s="328"/>
      <c r="P160" s="328"/>
      <c r="Q160" s="328"/>
      <c r="R160" s="328"/>
      <c r="S160" s="81"/>
      <c r="T160" s="3"/>
      <c r="U160" s="3"/>
      <c r="V160" s="3"/>
      <c r="W160" s="6"/>
    </row>
    <row r="162" spans="1:36"/>
    <row r="163" spans="1:36" ht="18.75" customHeight="1">
      <c r="B163" s="1" t="s">
        <v>70</v>
      </c>
      <c r="D163" s="346" t="s">
        <v>1</v>
      </c>
      <c r="E163" s="348" t="s">
        <v>3</v>
      </c>
      <c r="F163" s="350" t="s">
        <v>71</v>
      </c>
      <c r="G163" s="351"/>
      <c r="H163" s="351"/>
      <c r="I163" s="352"/>
      <c r="J163" s="280"/>
      <c r="K163" s="280"/>
      <c r="L163" s="353"/>
      <c r="M163" s="353"/>
      <c r="N163" s="354"/>
      <c r="O163" s="354"/>
      <c r="P163" s="354"/>
      <c r="Q163" s="354"/>
      <c r="R163" s="282"/>
      <c r="S163" s="280"/>
      <c r="T163" s="14"/>
      <c r="U163" s="15"/>
      <c r="V163" s="3"/>
      <c r="W163" s="6"/>
      <c r="AD163" s="283"/>
      <c r="AE163" s="284"/>
    </row>
    <row r="164" spans="1:36" ht="43.5">
      <c r="B164" s="10">
        <v>0.99</v>
      </c>
      <c r="D164" s="347"/>
      <c r="E164" s="349"/>
      <c r="F164" s="285" t="s">
        <v>72</v>
      </c>
      <c r="G164" s="285" t="s">
        <v>73</v>
      </c>
      <c r="H164" s="285" t="s">
        <v>74</v>
      </c>
      <c r="I164" s="286" t="s">
        <v>75</v>
      </c>
      <c r="J164" s="20"/>
      <c r="K164" s="20"/>
      <c r="L164" s="353"/>
      <c r="M164" s="353"/>
      <c r="N164" s="287"/>
      <c r="O164" s="287"/>
      <c r="P164" s="287"/>
      <c r="Q164" s="287"/>
      <c r="R164" s="281"/>
      <c r="S164" s="20"/>
      <c r="T164" s="288"/>
      <c r="U164" s="289"/>
      <c r="V164" s="289"/>
      <c r="W164" s="289"/>
      <c r="AA164" s="28"/>
      <c r="AB164" s="28"/>
      <c r="AC164" s="29"/>
      <c r="AD164" s="290"/>
      <c r="AE164" s="291"/>
      <c r="AG164" s="32"/>
    </row>
    <row r="165" spans="1:36" hidden="1">
      <c r="D165" s="292" t="s">
        <v>7</v>
      </c>
      <c r="E165" s="293">
        <v>123300.47</v>
      </c>
      <c r="F165" s="120">
        <f>E165*0.8</f>
        <v>98640.376000000004</v>
      </c>
      <c r="G165" s="120">
        <f>E165*0.85</f>
        <v>104805.3995</v>
      </c>
      <c r="H165" s="120">
        <f>E165*0.9</f>
        <v>110970.42300000001</v>
      </c>
      <c r="I165" s="294">
        <f>E165*0.95</f>
        <v>117135.44649999999</v>
      </c>
      <c r="J165" s="51"/>
      <c r="K165" s="51"/>
      <c r="L165" s="5"/>
      <c r="M165" s="295"/>
      <c r="N165" s="295"/>
      <c r="O165" s="295"/>
      <c r="P165" s="295"/>
      <c r="Q165" s="295"/>
      <c r="R165" s="295"/>
      <c r="S165" s="51"/>
      <c r="T165" s="3"/>
      <c r="U165" s="51"/>
      <c r="V165" s="51"/>
      <c r="W165" s="296"/>
      <c r="X165" s="56"/>
      <c r="Y165" s="297"/>
      <c r="Z165" s="297"/>
      <c r="AA165" s="58"/>
      <c r="AB165" s="58"/>
      <c r="AC165" s="58"/>
      <c r="AD165" s="283"/>
      <c r="AE165" s="284"/>
      <c r="AG165" s="59"/>
      <c r="AI165" s="58"/>
      <c r="AJ165" s="58"/>
    </row>
    <row r="166" spans="1:36">
      <c r="A166" s="120">
        <v>125275.85</v>
      </c>
      <c r="D166" s="119" t="s">
        <v>54</v>
      </c>
      <c r="E166" s="120">
        <f>$B$164*A166</f>
        <v>124023.09150000001</v>
      </c>
      <c r="F166" s="120">
        <f t="shared" ref="F166:F170" si="141">E166*0.8</f>
        <v>99218.473200000008</v>
      </c>
      <c r="G166" s="120">
        <f t="shared" ref="G166:G170" si="142">E166*0.85</f>
        <v>105419.627775</v>
      </c>
      <c r="H166" s="120">
        <f t="shared" ref="H166:H170" si="143">E166*0.9</f>
        <v>111620.78235000001</v>
      </c>
      <c r="I166" s="294">
        <f t="shared" ref="I166:I170" si="144">E166*0.95</f>
        <v>117821.936925</v>
      </c>
      <c r="J166" s="51"/>
      <c r="K166" s="51"/>
      <c r="L166" s="80"/>
      <c r="M166" s="295"/>
      <c r="N166" s="295"/>
      <c r="O166" s="295"/>
      <c r="P166" s="295"/>
      <c r="Q166" s="295"/>
      <c r="R166" s="295"/>
      <c r="S166" s="51"/>
      <c r="T166" s="298"/>
      <c r="U166" s="51"/>
      <c r="V166" s="51"/>
      <c r="W166" s="296"/>
      <c r="X166" s="56"/>
      <c r="Y166" s="297"/>
      <c r="Z166" s="297"/>
      <c r="AA166" s="58"/>
      <c r="AB166" s="58"/>
      <c r="AC166" s="58"/>
      <c r="AD166" s="283"/>
      <c r="AE166" s="284"/>
      <c r="AG166" s="59"/>
      <c r="AI166" s="58"/>
      <c r="AJ166" s="58"/>
    </row>
    <row r="167" spans="1:36">
      <c r="A167" s="120">
        <v>136319.56</v>
      </c>
      <c r="D167" s="119" t="s">
        <v>11</v>
      </c>
      <c r="E167" s="120">
        <f t="shared" ref="E167:E170" si="145">$B$164*A167</f>
        <v>134956.36439999999</v>
      </c>
      <c r="F167" s="120">
        <f t="shared" si="141"/>
        <v>107965.09152</v>
      </c>
      <c r="G167" s="120">
        <f t="shared" si="142"/>
        <v>114712.90973999999</v>
      </c>
      <c r="H167" s="120">
        <f t="shared" si="143"/>
        <v>121460.72795999999</v>
      </c>
      <c r="I167" s="294">
        <f t="shared" si="144"/>
        <v>128208.54617999999</v>
      </c>
      <c r="J167" s="51"/>
      <c r="K167" s="51"/>
      <c r="L167" s="80"/>
      <c r="M167" s="295"/>
      <c r="N167" s="295"/>
      <c r="O167" s="295"/>
      <c r="P167" s="295"/>
      <c r="Q167" s="295"/>
      <c r="R167" s="295"/>
      <c r="S167" s="51"/>
      <c r="T167" s="298"/>
      <c r="U167" s="51"/>
      <c r="V167" s="51"/>
      <c r="W167" s="296"/>
      <c r="X167" s="56"/>
      <c r="Y167" s="297"/>
      <c r="Z167" s="297"/>
      <c r="AA167" s="58"/>
      <c r="AB167" s="58"/>
      <c r="AC167" s="58"/>
      <c r="AD167" s="283"/>
      <c r="AE167" s="284"/>
      <c r="AG167" s="59"/>
      <c r="AI167" s="58"/>
      <c r="AJ167" s="58"/>
    </row>
    <row r="168" spans="1:36">
      <c r="A168" s="120">
        <v>136686.12</v>
      </c>
      <c r="D168" s="119" t="s">
        <v>13</v>
      </c>
      <c r="E168" s="120">
        <f t="shared" si="145"/>
        <v>135319.25879999998</v>
      </c>
      <c r="F168" s="120">
        <f t="shared" si="141"/>
        <v>108255.40703999999</v>
      </c>
      <c r="G168" s="120">
        <f t="shared" si="142"/>
        <v>115021.36997999997</v>
      </c>
      <c r="H168" s="120">
        <f t="shared" si="143"/>
        <v>121787.33291999999</v>
      </c>
      <c r="I168" s="294">
        <f t="shared" si="144"/>
        <v>128553.29585999997</v>
      </c>
      <c r="J168" s="51"/>
      <c r="K168" s="51"/>
      <c r="L168" s="80"/>
      <c r="M168" s="295"/>
      <c r="N168" s="295"/>
      <c r="O168" s="295"/>
      <c r="P168" s="295"/>
      <c r="Q168" s="295"/>
      <c r="R168" s="295"/>
      <c r="S168" s="51"/>
      <c r="T168" s="298"/>
      <c r="U168" s="51"/>
      <c r="V168" s="51"/>
      <c r="W168" s="296"/>
      <c r="X168" s="56"/>
      <c r="Y168" s="297"/>
      <c r="Z168" s="297"/>
      <c r="AA168" s="58"/>
      <c r="AB168" s="58"/>
      <c r="AC168" s="58"/>
      <c r="AD168" s="283"/>
      <c r="AE168" s="284"/>
      <c r="AG168" s="59"/>
      <c r="AI168" s="58"/>
      <c r="AJ168" s="58"/>
    </row>
    <row r="169" spans="1:36">
      <c r="A169" s="293">
        <v>145469.19</v>
      </c>
      <c r="D169" s="299" t="s">
        <v>15</v>
      </c>
      <c r="E169" s="120">
        <f t="shared" si="145"/>
        <v>144014.4981</v>
      </c>
      <c r="F169" s="120">
        <f t="shared" si="141"/>
        <v>115211.59848</v>
      </c>
      <c r="G169" s="120">
        <f t="shared" si="142"/>
        <v>122412.323385</v>
      </c>
      <c r="H169" s="120">
        <f t="shared" si="143"/>
        <v>129613.04829000001</v>
      </c>
      <c r="I169" s="294">
        <f t="shared" si="144"/>
        <v>136813.77319499999</v>
      </c>
      <c r="J169" s="51"/>
      <c r="K169" s="51"/>
      <c r="L169" s="80"/>
      <c r="M169" s="295"/>
      <c r="N169" s="295"/>
      <c r="O169" s="295"/>
      <c r="P169" s="295"/>
      <c r="Q169" s="295"/>
      <c r="R169" s="295"/>
      <c r="S169" s="51"/>
      <c r="T169" s="298"/>
      <c r="U169" s="51"/>
      <c r="V169" s="51"/>
      <c r="W169" s="296"/>
      <c r="X169" s="56"/>
      <c r="Y169" s="297"/>
      <c r="Z169" s="297"/>
      <c r="AA169" s="58"/>
      <c r="AB169" s="58"/>
      <c r="AC169" s="58"/>
      <c r="AD169" s="283"/>
      <c r="AE169" s="284"/>
      <c r="AG169" s="59"/>
      <c r="AI169" s="58"/>
      <c r="AJ169" s="58"/>
    </row>
    <row r="170" spans="1:36">
      <c r="A170" s="300">
        <v>148653.66</v>
      </c>
      <c r="D170" s="301" t="s">
        <v>17</v>
      </c>
      <c r="E170" s="132">
        <f t="shared" si="145"/>
        <v>147167.12340000001</v>
      </c>
      <c r="F170" s="132">
        <f t="shared" si="141"/>
        <v>117733.69872000001</v>
      </c>
      <c r="G170" s="132">
        <f t="shared" si="142"/>
        <v>125092.05489</v>
      </c>
      <c r="H170" s="132">
        <f t="shared" si="143"/>
        <v>132450.41106000001</v>
      </c>
      <c r="I170" s="302">
        <f t="shared" si="144"/>
        <v>139808.76723</v>
      </c>
      <c r="J170" s="51"/>
      <c r="K170" s="51"/>
      <c r="L170" s="80"/>
      <c r="M170" s="295"/>
      <c r="N170" s="295"/>
      <c r="O170" s="295"/>
      <c r="P170" s="295"/>
      <c r="Q170" s="295"/>
      <c r="R170" s="295"/>
      <c r="S170" s="51"/>
      <c r="T170" s="298"/>
      <c r="U170" s="51"/>
      <c r="V170" s="51"/>
      <c r="W170" s="296"/>
      <c r="X170" s="56"/>
      <c r="Y170" s="297"/>
      <c r="Z170" s="297"/>
      <c r="AA170" s="58"/>
      <c r="AB170" s="58"/>
      <c r="AC170" s="58"/>
      <c r="AD170" s="283"/>
      <c r="AE170" s="284"/>
      <c r="AG170" s="59"/>
      <c r="AI170" s="58"/>
      <c r="AJ170" s="58"/>
    </row>
    <row r="171" spans="1:36">
      <c r="D171" s="303" t="s">
        <v>55</v>
      </c>
      <c r="E171" s="304"/>
      <c r="F171" s="304"/>
      <c r="G171" s="304"/>
      <c r="H171" s="304"/>
      <c r="I171" s="304"/>
      <c r="J171" s="3"/>
      <c r="K171" s="3"/>
      <c r="L171" s="305"/>
      <c r="M171" s="306"/>
      <c r="N171" s="306"/>
      <c r="O171" s="306"/>
      <c r="P171" s="306"/>
      <c r="Q171" s="306"/>
      <c r="R171" s="5"/>
      <c r="S171" s="3"/>
      <c r="T171" s="3"/>
      <c r="U171" s="51"/>
      <c r="V171" s="51"/>
      <c r="W171" s="296"/>
      <c r="Y171" s="297"/>
      <c r="Z171" s="297"/>
      <c r="AA171" s="58"/>
      <c r="AB171" s="58"/>
      <c r="AC171" s="58"/>
      <c r="AD171" s="283"/>
      <c r="AE171" s="284"/>
      <c r="AG171" s="59"/>
      <c r="AI171" s="58"/>
      <c r="AJ171" s="58"/>
    </row>
    <row r="172" spans="1:36" ht="27.95" customHeight="1">
      <c r="D172" s="329" t="s">
        <v>57</v>
      </c>
      <c r="E172" s="329"/>
      <c r="F172" s="329"/>
      <c r="G172" s="329"/>
      <c r="H172" s="329"/>
      <c r="I172" s="329"/>
      <c r="J172" s="81"/>
      <c r="K172" s="81"/>
      <c r="L172" s="330"/>
      <c r="M172" s="330"/>
      <c r="N172" s="330"/>
      <c r="O172" s="330"/>
      <c r="P172" s="330"/>
      <c r="Q172" s="330"/>
      <c r="R172" s="82"/>
      <c r="S172" s="81"/>
      <c r="T172" s="3"/>
      <c r="U172" s="3"/>
      <c r="V172" s="3"/>
      <c r="W172" s="6"/>
      <c r="AD172" s="283"/>
      <c r="AE172" s="284"/>
    </row>
    <row r="173" spans="1:36"/>
    <row r="174" spans="1:36">
      <c r="C174" s="99"/>
      <c r="D174" s="99"/>
      <c r="E174" s="99"/>
      <c r="F174" s="99"/>
      <c r="G174" s="99"/>
      <c r="H174" s="99"/>
      <c r="I174" s="99"/>
      <c r="J174" s="99"/>
      <c r="K174" s="99"/>
    </row>
    <row r="175" spans="1:36" ht="18.75" customHeight="1">
      <c r="C175" s="99"/>
      <c r="D175" s="331" t="s">
        <v>1</v>
      </c>
      <c r="E175" s="333" t="s">
        <v>76</v>
      </c>
      <c r="F175" s="335" t="s">
        <v>58</v>
      </c>
      <c r="G175" s="336"/>
      <c r="H175" s="336"/>
      <c r="I175" s="336"/>
      <c r="J175" s="337"/>
      <c r="K175" s="99"/>
      <c r="L175" s="338" t="s">
        <v>1</v>
      </c>
      <c r="M175" s="340" t="s">
        <v>67</v>
      </c>
      <c r="N175" s="342" t="s">
        <v>58</v>
      </c>
      <c r="O175" s="343"/>
      <c r="P175" s="343"/>
      <c r="Q175" s="343"/>
      <c r="R175" s="344"/>
    </row>
    <row r="176" spans="1:36" ht="143.25">
      <c r="C176" s="99"/>
      <c r="D176" s="332"/>
      <c r="E176" s="334"/>
      <c r="F176" s="307" t="s">
        <v>39</v>
      </c>
      <c r="G176" s="308" t="s">
        <v>40</v>
      </c>
      <c r="H176" s="309" t="s">
        <v>41</v>
      </c>
      <c r="I176" s="309" t="s">
        <v>42</v>
      </c>
      <c r="J176" s="310" t="s">
        <v>43</v>
      </c>
      <c r="K176" s="99"/>
      <c r="L176" s="339"/>
      <c r="M176" s="341"/>
      <c r="N176" s="21" t="s">
        <v>39</v>
      </c>
      <c r="O176" s="22" t="s">
        <v>40</v>
      </c>
      <c r="P176" s="23" t="s">
        <v>41</v>
      </c>
      <c r="Q176" s="23" t="s">
        <v>42</v>
      </c>
      <c r="R176" s="24" t="s">
        <v>43</v>
      </c>
    </row>
    <row r="177" spans="3:36" ht="11.25" customHeight="1">
      <c r="C177" s="99"/>
      <c r="D177" s="311"/>
      <c r="E177" s="98"/>
      <c r="F177" s="98"/>
      <c r="G177" s="98"/>
      <c r="H177" s="98"/>
      <c r="I177" s="98"/>
      <c r="J177" s="247"/>
      <c r="K177" s="99"/>
      <c r="L177" s="216"/>
      <c r="M177" s="101"/>
      <c r="N177" s="101"/>
      <c r="O177" s="101"/>
      <c r="P177" s="101"/>
      <c r="Q177" s="101"/>
      <c r="R177" s="248"/>
    </row>
    <row r="178" spans="3:36">
      <c r="C178" s="99"/>
      <c r="D178" s="312" t="s">
        <v>7</v>
      </c>
      <c r="E178" s="252">
        <f>F166</f>
        <v>99218.473200000008</v>
      </c>
      <c r="F178" s="252">
        <f>E178*0.15</f>
        <v>14882.770980000001</v>
      </c>
      <c r="G178" s="313">
        <f>E178-F178</f>
        <v>84335.702220000006</v>
      </c>
      <c r="H178" s="252">
        <f>(E178-F178)*1.08/2</f>
        <v>45541.27919880001</v>
      </c>
      <c r="I178" s="252">
        <f>(E178-F178)*1.1/4</f>
        <v>23192.318110500004</v>
      </c>
      <c r="J178" s="314">
        <f>(E178-F178)*1.12/10</f>
        <v>9445.5986486400016</v>
      </c>
      <c r="K178" s="99"/>
      <c r="L178" s="256" t="s">
        <v>7</v>
      </c>
      <c r="M178" s="257">
        <f>E178*0.95</f>
        <v>94257.549540000007</v>
      </c>
      <c r="N178" s="257">
        <f t="shared" ref="N178:R183" si="146">F178*0.95</f>
        <v>14138.632431</v>
      </c>
      <c r="O178" s="257">
        <f t="shared" si="146"/>
        <v>80118.917109000002</v>
      </c>
      <c r="P178" s="257">
        <f t="shared" si="146"/>
        <v>43264.215238860008</v>
      </c>
      <c r="Q178" s="257">
        <f t="shared" si="146"/>
        <v>22032.702204975001</v>
      </c>
      <c r="R178" s="258">
        <f t="shared" si="146"/>
        <v>8973.3187162080012</v>
      </c>
      <c r="X178" s="56" t="e">
        <f t="shared" ref="X178:X181" si="147">V178/U178</f>
        <v>#DIV/0!</v>
      </c>
      <c r="Y178" s="57" t="e">
        <f>AA178/U178</f>
        <v>#DIV/0!</v>
      </c>
      <c r="Z178" s="57"/>
      <c r="AA178" s="58">
        <f>E166-E178</f>
        <v>24804.618300000002</v>
      </c>
      <c r="AB178" s="58">
        <f>E166-AC178-AD178</f>
        <v>118248.09150000001</v>
      </c>
      <c r="AC178" s="58">
        <f>5775</f>
        <v>5775</v>
      </c>
      <c r="AF178" s="58">
        <f>SUM(AB178:AD178)</f>
        <v>124023.09150000001</v>
      </c>
      <c r="AG178" s="59">
        <f>SUM(AA178:AD178)</f>
        <v>148827.70980000001</v>
      </c>
      <c r="AH178" s="315">
        <f>E166</f>
        <v>124023.09150000001</v>
      </c>
      <c r="AI178" s="58" t="e">
        <f t="shared" ref="AI178:AI183" si="148">AB178/(U178-AD178)</f>
        <v>#DIV/0!</v>
      </c>
      <c r="AJ178" s="58" t="e">
        <f t="shared" ref="AJ178:AJ183" si="149">AE178/U178</f>
        <v>#DIV/0!</v>
      </c>
    </row>
    <row r="179" spans="3:36">
      <c r="C179" s="99"/>
      <c r="D179" s="316" t="s">
        <v>54</v>
      </c>
      <c r="E179" s="262">
        <f>F166</f>
        <v>99218.473200000008</v>
      </c>
      <c r="F179" s="262">
        <f>E179*0.15</f>
        <v>14882.770980000001</v>
      </c>
      <c r="G179" s="317">
        <f t="shared" ref="G179:G183" si="150">E179-F179</f>
        <v>84335.702220000006</v>
      </c>
      <c r="H179" s="262">
        <f t="shared" ref="H179:H183" si="151">(E179-F179)*1.08/2</f>
        <v>45541.27919880001</v>
      </c>
      <c r="I179" s="262">
        <f t="shared" ref="I179:I183" si="152">(E179-F179)*1.1/4</f>
        <v>23192.318110500004</v>
      </c>
      <c r="J179" s="318">
        <f>(E179-F179)*1.12/10</f>
        <v>9445.5986486400016</v>
      </c>
      <c r="K179" s="99"/>
      <c r="L179" s="266" t="s">
        <v>54</v>
      </c>
      <c r="M179" s="109">
        <f t="shared" ref="M179:M183" si="153">E179*0.95</f>
        <v>94257.549540000007</v>
      </c>
      <c r="N179" s="109">
        <f t="shared" si="146"/>
        <v>14138.632431</v>
      </c>
      <c r="O179" s="109">
        <f t="shared" si="146"/>
        <v>80118.917109000002</v>
      </c>
      <c r="P179" s="109">
        <f t="shared" si="146"/>
        <v>43264.215238860008</v>
      </c>
      <c r="Q179" s="109">
        <f t="shared" si="146"/>
        <v>22032.702204975001</v>
      </c>
      <c r="R179" s="267">
        <f t="shared" si="146"/>
        <v>8973.3187162080012</v>
      </c>
      <c r="X179" s="56" t="e">
        <f t="shared" si="147"/>
        <v>#DIV/0!</v>
      </c>
      <c r="Y179" s="57" t="e">
        <f t="shared" ref="Y179:Y183" si="154">AA179/U179</f>
        <v>#DIV/0!</v>
      </c>
      <c r="Z179" s="57"/>
      <c r="AA179" s="58">
        <f>E166-E179</f>
        <v>24804.618300000002</v>
      </c>
      <c r="AB179" s="58">
        <f>E166-AC179-AD179</f>
        <v>118248.09150000001</v>
      </c>
      <c r="AC179" s="58">
        <v>5775</v>
      </c>
      <c r="AF179" s="58">
        <f>SUM(AB179:AD179)</f>
        <v>124023.09150000001</v>
      </c>
      <c r="AG179" s="59">
        <f t="shared" ref="AG179:AG183" si="155">SUM(AA179:AD179)</f>
        <v>148827.70980000001</v>
      </c>
      <c r="AH179" s="315">
        <f>E166</f>
        <v>124023.09150000001</v>
      </c>
      <c r="AI179" s="58" t="e">
        <f t="shared" si="148"/>
        <v>#DIV/0!</v>
      </c>
      <c r="AJ179" s="58" t="e">
        <f t="shared" si="149"/>
        <v>#DIV/0!</v>
      </c>
    </row>
    <row r="180" spans="3:36">
      <c r="C180" s="99"/>
      <c r="D180" s="316" t="s">
        <v>11</v>
      </c>
      <c r="E180" s="262">
        <f t="shared" ref="E180:E183" si="156">F167</f>
        <v>107965.09152</v>
      </c>
      <c r="F180" s="262">
        <f>E180*0.15</f>
        <v>16194.763728</v>
      </c>
      <c r="G180" s="317">
        <f t="shared" si="150"/>
        <v>91770.327791999996</v>
      </c>
      <c r="H180" s="262">
        <f t="shared" si="151"/>
        <v>49555.977007679998</v>
      </c>
      <c r="I180" s="262">
        <f t="shared" si="152"/>
        <v>25236.8401428</v>
      </c>
      <c r="J180" s="318">
        <f>(E180-F180)*1.12/10</f>
        <v>10278.276712704001</v>
      </c>
      <c r="K180" s="99"/>
      <c r="L180" s="266" t="s">
        <v>11</v>
      </c>
      <c r="M180" s="109">
        <f t="shared" si="153"/>
        <v>102566.836944</v>
      </c>
      <c r="N180" s="109">
        <f t="shared" si="146"/>
        <v>15385.0255416</v>
      </c>
      <c r="O180" s="109">
        <f t="shared" si="146"/>
        <v>87181.811402399995</v>
      </c>
      <c r="P180" s="109">
        <f t="shared" si="146"/>
        <v>47078.178157295995</v>
      </c>
      <c r="Q180" s="109">
        <f t="shared" si="146"/>
        <v>23974.99813566</v>
      </c>
      <c r="R180" s="267">
        <f t="shared" si="146"/>
        <v>9764.3628770687992</v>
      </c>
      <c r="X180" s="56" t="e">
        <f>V180/U180</f>
        <v>#DIV/0!</v>
      </c>
      <c r="Y180" s="57" t="e">
        <f t="shared" si="154"/>
        <v>#DIV/0!</v>
      </c>
      <c r="Z180" s="57"/>
      <c r="AA180" s="58">
        <f t="shared" ref="AA180:AA183" si="157">E167-E180</f>
        <v>26991.27287999999</v>
      </c>
      <c r="AB180" s="58">
        <f>E167-AC180-AD180</f>
        <v>123523.54439999998</v>
      </c>
      <c r="AC180" s="58">
        <v>8400</v>
      </c>
      <c r="AD180" s="7">
        <f>3032.82</f>
        <v>3032.82</v>
      </c>
      <c r="AF180" s="58">
        <f>SUM(AB180:AD180)</f>
        <v>134956.36439999999</v>
      </c>
      <c r="AG180" s="59">
        <f t="shared" si="155"/>
        <v>161947.63727999997</v>
      </c>
      <c r="AH180" s="315">
        <f t="shared" ref="AH180:AH183" si="158">E167</f>
        <v>134956.36439999999</v>
      </c>
      <c r="AI180" s="58">
        <f t="shared" si="148"/>
        <v>-40.728940194274628</v>
      </c>
      <c r="AJ180" s="58" t="e">
        <f t="shared" si="149"/>
        <v>#DIV/0!</v>
      </c>
    </row>
    <row r="181" spans="3:36">
      <c r="C181" s="99"/>
      <c r="D181" s="316" t="s">
        <v>13</v>
      </c>
      <c r="E181" s="262">
        <f t="shared" si="156"/>
        <v>108255.40703999999</v>
      </c>
      <c r="F181" s="262">
        <f>E181*0.15</f>
        <v>16238.311055999999</v>
      </c>
      <c r="G181" s="317">
        <f t="shared" si="150"/>
        <v>92017.095983999985</v>
      </c>
      <c r="H181" s="262">
        <f t="shared" si="151"/>
        <v>49689.231831359997</v>
      </c>
      <c r="I181" s="262">
        <f t="shared" si="152"/>
        <v>25304.701395599997</v>
      </c>
      <c r="J181" s="318">
        <f>(E181-F181)*1.12/10</f>
        <v>10305.914750208</v>
      </c>
      <c r="K181" s="99"/>
      <c r="L181" s="266" t="s">
        <v>13</v>
      </c>
      <c r="M181" s="109">
        <f t="shared" si="153"/>
        <v>102842.63668799998</v>
      </c>
      <c r="N181" s="109">
        <f t="shared" si="146"/>
        <v>15426.395503199998</v>
      </c>
      <c r="O181" s="109">
        <f t="shared" si="146"/>
        <v>87416.241184799976</v>
      </c>
      <c r="P181" s="109">
        <f t="shared" si="146"/>
        <v>47204.770239791993</v>
      </c>
      <c r="Q181" s="109">
        <f t="shared" si="146"/>
        <v>24039.466325819998</v>
      </c>
      <c r="R181" s="267">
        <f t="shared" si="146"/>
        <v>9790.6190126975998</v>
      </c>
      <c r="X181" s="56" t="e">
        <f t="shared" ref="X181:X183" si="159">V181/U181</f>
        <v>#DIV/0!</v>
      </c>
      <c r="Y181" s="57" t="e">
        <f t="shared" si="154"/>
        <v>#DIV/0!</v>
      </c>
      <c r="Z181" s="57"/>
      <c r="AA181" s="58">
        <f t="shared" si="157"/>
        <v>27063.85175999999</v>
      </c>
      <c r="AB181" s="58">
        <f>E168-AC181-AD181</f>
        <v>123769.25879999998</v>
      </c>
      <c r="AC181" s="58">
        <v>11550</v>
      </c>
      <c r="AF181" s="58">
        <f>SUM(AB181:AD181)</f>
        <v>135319.25879999998</v>
      </c>
      <c r="AG181" s="59">
        <f t="shared" si="155"/>
        <v>162383.11055999997</v>
      </c>
      <c r="AH181" s="315">
        <f t="shared" si="158"/>
        <v>135319.25879999998</v>
      </c>
      <c r="AI181" s="58" t="e">
        <f t="shared" si="148"/>
        <v>#DIV/0!</v>
      </c>
      <c r="AJ181" s="58" t="e">
        <f t="shared" si="149"/>
        <v>#DIV/0!</v>
      </c>
    </row>
    <row r="182" spans="3:36">
      <c r="C182" s="99"/>
      <c r="D182" s="270" t="s">
        <v>15</v>
      </c>
      <c r="E182" s="262">
        <f t="shared" si="156"/>
        <v>115211.59848</v>
      </c>
      <c r="F182" s="262">
        <f t="shared" ref="F182:F183" si="160">E182*0.15</f>
        <v>17281.739772000001</v>
      </c>
      <c r="G182" s="317">
        <f t="shared" si="150"/>
        <v>97929.858708</v>
      </c>
      <c r="H182" s="262">
        <f t="shared" si="151"/>
        <v>52882.123702320001</v>
      </c>
      <c r="I182" s="262">
        <f t="shared" si="152"/>
        <v>26930.711144700002</v>
      </c>
      <c r="J182" s="318">
        <f t="shared" ref="J182:J183" si="161">(E182-F182)*1.12/10</f>
        <v>10968.144175296</v>
      </c>
      <c r="K182" s="99"/>
      <c r="L182" s="271" t="s">
        <v>15</v>
      </c>
      <c r="M182" s="109">
        <f t="shared" si="153"/>
        <v>109451.018556</v>
      </c>
      <c r="N182" s="109">
        <f t="shared" si="146"/>
        <v>16417.652783400001</v>
      </c>
      <c r="O182" s="109">
        <f t="shared" si="146"/>
        <v>93033.365772599995</v>
      </c>
      <c r="P182" s="109">
        <f t="shared" si="146"/>
        <v>50238.017517203996</v>
      </c>
      <c r="Q182" s="109">
        <f t="shared" si="146"/>
        <v>25584.175587465001</v>
      </c>
      <c r="R182" s="267">
        <f t="shared" si="146"/>
        <v>10419.7369665312</v>
      </c>
      <c r="X182" s="56" t="e">
        <f t="shared" si="159"/>
        <v>#DIV/0!</v>
      </c>
      <c r="Y182" s="57" t="e">
        <f t="shared" si="154"/>
        <v>#DIV/0!</v>
      </c>
      <c r="Z182" s="57"/>
      <c r="AA182" s="58">
        <f t="shared" si="157"/>
        <v>28802.899619999997</v>
      </c>
      <c r="AB182" s="58">
        <f>E169-AC182-AD182</f>
        <v>128264.4981</v>
      </c>
      <c r="AC182" s="58">
        <v>15750</v>
      </c>
      <c r="AF182" s="58">
        <f>SUM(AB182:AD182)</f>
        <v>144014.4981</v>
      </c>
      <c r="AG182" s="59">
        <f t="shared" si="155"/>
        <v>172817.39772000001</v>
      </c>
      <c r="AH182" s="315">
        <f t="shared" si="158"/>
        <v>144014.4981</v>
      </c>
      <c r="AI182" s="58" t="e">
        <f t="shared" si="148"/>
        <v>#DIV/0!</v>
      </c>
      <c r="AJ182" s="58" t="e">
        <f t="shared" si="149"/>
        <v>#DIV/0!</v>
      </c>
    </row>
    <row r="183" spans="3:36">
      <c r="C183" s="99"/>
      <c r="D183" s="272" t="s">
        <v>17</v>
      </c>
      <c r="E183" s="273">
        <f t="shared" si="156"/>
        <v>117733.69872000001</v>
      </c>
      <c r="F183" s="273">
        <f t="shared" si="160"/>
        <v>17660.054808000001</v>
      </c>
      <c r="G183" s="319">
        <f t="shared" si="150"/>
        <v>100073.64391200001</v>
      </c>
      <c r="H183" s="273">
        <f t="shared" si="151"/>
        <v>54039.76771248001</v>
      </c>
      <c r="I183" s="273">
        <f t="shared" si="152"/>
        <v>27520.252075800006</v>
      </c>
      <c r="J183" s="320">
        <f t="shared" si="161"/>
        <v>11208.248118144003</v>
      </c>
      <c r="K183" s="99"/>
      <c r="L183" s="277" t="s">
        <v>17</v>
      </c>
      <c r="M183" s="278">
        <f t="shared" si="153"/>
        <v>111847.01378400001</v>
      </c>
      <c r="N183" s="278">
        <f t="shared" si="146"/>
        <v>16777.052067600001</v>
      </c>
      <c r="O183" s="278">
        <f t="shared" si="146"/>
        <v>95069.961716400008</v>
      </c>
      <c r="P183" s="278">
        <f t="shared" si="146"/>
        <v>51337.779326856005</v>
      </c>
      <c r="Q183" s="278">
        <f t="shared" si="146"/>
        <v>26144.239472010006</v>
      </c>
      <c r="R183" s="279">
        <f t="shared" si="146"/>
        <v>10647.835712236803</v>
      </c>
      <c r="X183" s="56" t="e">
        <f t="shared" si="159"/>
        <v>#DIV/0!</v>
      </c>
      <c r="Y183" s="57" t="e">
        <f t="shared" si="154"/>
        <v>#DIV/0!</v>
      </c>
      <c r="Z183" s="57"/>
      <c r="AA183" s="58">
        <f t="shared" si="157"/>
        <v>29433.424679999996</v>
      </c>
      <c r="AB183" s="58">
        <f>E170-AC183-AD183</f>
        <v>128264.50340000002</v>
      </c>
      <c r="AC183" s="58">
        <v>15750</v>
      </c>
      <c r="AD183" s="7">
        <f>3152.62</f>
        <v>3152.62</v>
      </c>
      <c r="AF183" s="58">
        <f>SUM(AB183:AD183)</f>
        <v>147167.12340000001</v>
      </c>
      <c r="AG183" s="59">
        <f t="shared" si="155"/>
        <v>176600.54808000001</v>
      </c>
      <c r="AH183" s="315">
        <f t="shared" si="158"/>
        <v>147167.12340000001</v>
      </c>
      <c r="AI183" s="58">
        <f t="shared" si="148"/>
        <v>-40.685050339083055</v>
      </c>
      <c r="AJ183" s="58" t="e">
        <f t="shared" si="149"/>
        <v>#DIV/0!</v>
      </c>
    </row>
    <row r="184" spans="3:36" ht="22.5" customHeight="1">
      <c r="C184" s="99"/>
      <c r="D184" s="321" t="s">
        <v>77</v>
      </c>
      <c r="E184" s="322"/>
      <c r="F184" s="322"/>
      <c r="G184" s="322"/>
      <c r="H184" s="322"/>
      <c r="I184" s="322"/>
      <c r="J184" s="322"/>
      <c r="K184" s="99"/>
      <c r="L184" s="84" t="s">
        <v>55</v>
      </c>
      <c r="M184" s="5"/>
      <c r="N184" s="5"/>
      <c r="O184" s="5"/>
      <c r="P184" s="5"/>
      <c r="Q184" s="5"/>
      <c r="R184" s="5"/>
      <c r="AC184" s="58"/>
    </row>
    <row r="185" spans="3:36" ht="30.75" customHeight="1">
      <c r="C185" s="99"/>
      <c r="D185" s="327" t="s">
        <v>57</v>
      </c>
      <c r="E185" s="327"/>
      <c r="F185" s="327"/>
      <c r="G185" s="327"/>
      <c r="H185" s="327"/>
      <c r="I185" s="327"/>
      <c r="J185" s="327"/>
      <c r="K185" s="99"/>
      <c r="L185" s="328" t="s">
        <v>57</v>
      </c>
      <c r="M185" s="328"/>
      <c r="N185" s="328"/>
      <c r="O185" s="328"/>
      <c r="P185" s="328"/>
      <c r="Q185" s="328"/>
      <c r="R185" s="328"/>
      <c r="AC185" s="58"/>
    </row>
    <row r="186" spans="3:36">
      <c r="C186" s="99"/>
      <c r="D186" s="99"/>
      <c r="E186" s="99"/>
      <c r="F186" s="99"/>
      <c r="G186" s="99"/>
      <c r="H186" s="99"/>
      <c r="I186" s="99"/>
      <c r="J186" s="99"/>
      <c r="K186" s="99"/>
    </row>
    <row r="187" spans="3:36"/>
  </sheetData>
  <mergeCells count="105">
    <mergeCell ref="D19:J19"/>
    <mergeCell ref="L19:R19"/>
    <mergeCell ref="D21:D22"/>
    <mergeCell ref="E21:E22"/>
    <mergeCell ref="F21:J21"/>
    <mergeCell ref="L21:L22"/>
    <mergeCell ref="M21:M22"/>
    <mergeCell ref="N21:R21"/>
    <mergeCell ref="L4:R4"/>
    <mergeCell ref="D5:D6"/>
    <mergeCell ref="E5:E6"/>
    <mergeCell ref="F5:J5"/>
    <mergeCell ref="L5:L6"/>
    <mergeCell ref="M5:M6"/>
    <mergeCell ref="N5:R5"/>
    <mergeCell ref="D51:J51"/>
    <mergeCell ref="L51:R51"/>
    <mergeCell ref="D53:D54"/>
    <mergeCell ref="E53:E54"/>
    <mergeCell ref="F53:J53"/>
    <mergeCell ref="L53:L54"/>
    <mergeCell ref="M53:M54"/>
    <mergeCell ref="N53:R53"/>
    <mergeCell ref="D35:J35"/>
    <mergeCell ref="L35:R35"/>
    <mergeCell ref="D37:D38"/>
    <mergeCell ref="E37:E38"/>
    <mergeCell ref="F37:J37"/>
    <mergeCell ref="L37:L38"/>
    <mergeCell ref="M37:M38"/>
    <mergeCell ref="N37:R37"/>
    <mergeCell ref="D78:J78"/>
    <mergeCell ref="L78:R78"/>
    <mergeCell ref="D81:D82"/>
    <mergeCell ref="E81:E82"/>
    <mergeCell ref="F81:J81"/>
    <mergeCell ref="L81:L82"/>
    <mergeCell ref="M81:M82"/>
    <mergeCell ref="N81:R81"/>
    <mergeCell ref="D65:J65"/>
    <mergeCell ref="L65:R65"/>
    <mergeCell ref="D68:D69"/>
    <mergeCell ref="E68:E69"/>
    <mergeCell ref="F68:J68"/>
    <mergeCell ref="L68:L69"/>
    <mergeCell ref="M68:M69"/>
    <mergeCell ref="N68:R68"/>
    <mergeCell ref="D108:J108"/>
    <mergeCell ref="L108:R108"/>
    <mergeCell ref="D110:D111"/>
    <mergeCell ref="E110:E111"/>
    <mergeCell ref="F110:J110"/>
    <mergeCell ref="L110:L111"/>
    <mergeCell ref="M110:M111"/>
    <mergeCell ref="N110:R110"/>
    <mergeCell ref="D91:J91"/>
    <mergeCell ref="L91:R91"/>
    <mergeCell ref="D94:D95"/>
    <mergeCell ref="E94:E95"/>
    <mergeCell ref="F94:J94"/>
    <mergeCell ref="L94:L95"/>
    <mergeCell ref="M94:M95"/>
    <mergeCell ref="N94:R94"/>
    <mergeCell ref="D132:J132"/>
    <mergeCell ref="L132:R132"/>
    <mergeCell ref="D135:D136"/>
    <mergeCell ref="E135:E136"/>
    <mergeCell ref="F135:J135"/>
    <mergeCell ref="L135:L136"/>
    <mergeCell ref="M135:M136"/>
    <mergeCell ref="N135:R135"/>
    <mergeCell ref="D120:J120"/>
    <mergeCell ref="L120:R120"/>
    <mergeCell ref="D123:D124"/>
    <mergeCell ref="E123:E124"/>
    <mergeCell ref="F123:J123"/>
    <mergeCell ref="L123:L124"/>
    <mergeCell ref="M123:M124"/>
    <mergeCell ref="N123:R123"/>
    <mergeCell ref="D160:J160"/>
    <mergeCell ref="L160:R160"/>
    <mergeCell ref="D163:D164"/>
    <mergeCell ref="E163:E164"/>
    <mergeCell ref="F163:I163"/>
    <mergeCell ref="L163:L164"/>
    <mergeCell ref="M163:M164"/>
    <mergeCell ref="N163:Q163"/>
    <mergeCell ref="D148:J148"/>
    <mergeCell ref="L148:R148"/>
    <mergeCell ref="D150:D151"/>
    <mergeCell ref="E150:E151"/>
    <mergeCell ref="F150:J150"/>
    <mergeCell ref="L150:L151"/>
    <mergeCell ref="M150:M151"/>
    <mergeCell ref="N150:R150"/>
    <mergeCell ref="D185:J185"/>
    <mergeCell ref="L185:R185"/>
    <mergeCell ref="D172:I172"/>
    <mergeCell ref="L172:Q172"/>
    <mergeCell ref="D175:D176"/>
    <mergeCell ref="E175:E176"/>
    <mergeCell ref="F175:J175"/>
    <mergeCell ref="L175:L176"/>
    <mergeCell ref="M175:M176"/>
    <mergeCell ref="N175:R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2026-10-28T01:28:56Z</dcterms:created>
  <dcterms:modified xsi:type="dcterms:W3CDTF">2026-10-28T04:01:45Z</dcterms:modified>
  <cp:category/>
  <cp:contentStatus/>
</cp:coreProperties>
</file>